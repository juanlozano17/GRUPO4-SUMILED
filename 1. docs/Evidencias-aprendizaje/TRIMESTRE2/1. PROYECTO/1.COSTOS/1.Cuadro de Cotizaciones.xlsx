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15.xml"/>
  <Override ContentType="application/vnd.openxmlformats-officedocument.spreadsheetml.worksheet+xml" PartName="/xl/worksheets/sheet19.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21.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20.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18.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21.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19.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11.xml"/>
  <Override ContentType="application/vnd.openxmlformats-officedocument.drawing+xml" PartName="/xl/drawings/drawing20.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orre admin" sheetId="1" r:id="rId4"/>
    <sheet state="visible" name="Monitor Admin" sheetId="2" r:id="rId5"/>
    <sheet state="visible" name="DiscoSolido Admin" sheetId="3" r:id="rId6"/>
    <sheet state="visible" name="Disco duro interno Admin" sheetId="4" r:id="rId7"/>
    <sheet state="visible" name="Servidor Admin" sheetId="5" r:id="rId8"/>
    <sheet state="visible" name="ram Admin" sheetId="6" r:id="rId9"/>
    <sheet state="visible" name="Teclado Admin" sheetId="7" r:id="rId10"/>
    <sheet state="visible" name="Mause Admin" sheetId="8" r:id="rId11"/>
    <sheet state="visible" name="Portatil Nosotros" sheetId="9" r:id="rId12"/>
    <sheet state="visible" name="Monitor Nosotros" sheetId="10" r:id="rId13"/>
    <sheet state="visible" name=" Disco mecanico Nosotros" sheetId="11" r:id="rId14"/>
    <sheet state="visible" name=" Servidor Nosotros" sheetId="12" r:id="rId15"/>
    <sheet state="visible" name=" ram nosotros" sheetId="13" r:id="rId16"/>
    <sheet state="visible" name="Tarjeta de video nosotros" sheetId="14" r:id="rId17"/>
    <sheet state="visible" name="Procesador Nosotros" sheetId="15" r:id="rId18"/>
    <sheet state="visible" name="Teclado nosostros " sheetId="16" r:id="rId19"/>
    <sheet state="visible" name="Muse nosotros" sheetId="17" r:id="rId20"/>
    <sheet state="visible" name="software licencia" sheetId="18" r:id="rId21"/>
    <sheet state="visible" name="licencia visual" sheetId="19" r:id="rId22"/>
    <sheet state="visible" name="windows 11 licencia" sheetId="20" r:id="rId23"/>
    <sheet state="visible" name="licencia SQL" sheetId="21" r:id="rId24"/>
  </sheets>
  <definedNames/>
  <calcPr/>
  <extLst>
    <ext uri="GoogleSheetsCustomDataVersion2">
      <go:sheetsCustomData xmlns:go="http://customooxmlschemas.google.com/" r:id="rId25" roundtripDataChecksum="29Wk2coJQmnMZj1k3Xiz/b2jSpDG9uB7NWV0I0rY08M="/>
    </ext>
  </extLst>
</workbook>
</file>

<file path=xl/sharedStrings.xml><?xml version="1.0" encoding="utf-8"?>
<sst xmlns="http://schemas.openxmlformats.org/spreadsheetml/2006/main" count="670" uniqueCount="428">
  <si>
    <t xml:space="preserve">  </t>
  </si>
  <si>
    <t>CUADRO DE COTIZACIONES</t>
  </si>
  <si>
    <t xml:space="preserve">Cuadro Comparativo de Cotizaciones </t>
  </si>
  <si>
    <t xml:space="preserve">Presupuestos (a)
</t>
  </si>
  <si>
    <r>
      <rPr>
        <rFont val="Trebuchet MS"/>
        <b/>
        <color theme="1"/>
        <sz val="10.0"/>
      </rPr>
      <t>Empresa</t>
    </r>
    <r>
      <rPr>
        <rFont val="Trebuchet MS"/>
        <b val="0"/>
        <i/>
        <color theme="1"/>
        <sz val="8.0"/>
      </rPr>
      <t xml:space="preserve">
(Nombre fiscal de la empresa)</t>
    </r>
  </si>
  <si>
    <r>
      <rPr>
        <rFont val="Trebuchet MS"/>
        <b/>
        <color theme="1"/>
        <sz val="10.0"/>
      </rPr>
      <t>Nº de CUIT, Dirección, Teléfono</t>
    </r>
    <r>
      <rPr>
        <rFont val="Trebuchet MS"/>
        <b val="0"/>
        <i/>
        <color theme="1"/>
        <sz val="10.0"/>
      </rPr>
      <t xml:space="preserve">
</t>
    </r>
    <r>
      <rPr>
        <rFont val="Trebuchet MS"/>
        <b val="0"/>
        <i/>
        <color theme="1"/>
        <sz val="8.0"/>
      </rPr>
      <t>(Datos de la empresa)</t>
    </r>
  </si>
  <si>
    <r>
      <rPr>
        <rFont val="Trebuchet MS"/>
        <b/>
        <color theme="1"/>
        <sz val="10.0"/>
      </rPr>
      <t>Descripción del
bien/ servicio (b)</t>
    </r>
    <r>
      <rPr>
        <rFont val="Trebuchet MS"/>
        <b val="0"/>
        <i/>
        <color theme="1"/>
        <sz val="10.0"/>
      </rPr>
      <t xml:space="preserve">
</t>
    </r>
    <r>
      <rPr>
        <rFont val="Trebuchet MS"/>
        <b val="0"/>
        <i/>
        <color theme="1"/>
        <sz val="8.0"/>
      </rPr>
      <t>Características de los bienes/ servicios</t>
    </r>
  </si>
  <si>
    <r>
      <rPr>
        <rFont val="Trebuchet MS"/>
        <b/>
        <color theme="1"/>
        <sz val="10.0"/>
      </rPr>
      <t xml:space="preserve">Importe Unitario
</t>
    </r>
    <r>
      <rPr>
        <rFont val="Trebuchet MS"/>
        <b val="0"/>
        <i/>
        <color theme="1"/>
        <sz val="8.0"/>
      </rPr>
      <t>(moneda nacional)</t>
    </r>
  </si>
  <si>
    <r>
      <rPr>
        <rFont val="Trebuchet MS"/>
        <b/>
        <color theme="1"/>
        <sz val="10.0"/>
        <u/>
      </rPr>
      <t>Importe Total</t>
    </r>
    <r>
      <rPr>
        <rFont val="Trebuchet MS"/>
        <b/>
        <color theme="1"/>
        <sz val="10.0"/>
        <u/>
      </rPr>
      <t xml:space="preserve">
 IVA incluido
</t>
    </r>
    <r>
      <rPr>
        <rFont val="Trebuchet MS"/>
        <b val="0"/>
        <i/>
        <color theme="1"/>
        <sz val="8.0"/>
        <u/>
      </rPr>
      <t>(moneda nacional)</t>
    </r>
  </si>
  <si>
    <r>
      <rPr>
        <rFont val="Arial"/>
        <b/>
        <color theme="1"/>
        <sz val="10.0"/>
      </rPr>
      <t xml:space="preserve">Importe Total
</t>
    </r>
    <r>
      <rPr>
        <rFont val="Arial"/>
        <b val="0"/>
        <i/>
        <color theme="1"/>
        <sz val="8.0"/>
      </rPr>
      <t>(moneda extranjera)</t>
    </r>
  </si>
  <si>
    <t>Tipo de cambio</t>
  </si>
  <si>
    <r>
      <rPr>
        <rFont val="Trebuchet MS"/>
        <b/>
        <color theme="1"/>
        <sz val="10.0"/>
      </rPr>
      <t xml:space="preserve">Forma de Pago 
</t>
    </r>
    <r>
      <rPr>
        <rFont val="Trebuchet MS"/>
        <b val="0"/>
        <i/>
        <color theme="1"/>
        <sz val="8.0"/>
      </rPr>
      <t>(Contado o Cheque)</t>
    </r>
  </si>
  <si>
    <r>
      <rPr>
        <rFont val="Trebuchet MS"/>
        <b/>
        <color theme="1"/>
        <sz val="10.0"/>
      </rPr>
      <t xml:space="preserve">Observaciones </t>
    </r>
    <r>
      <rPr>
        <rFont val="Trebuchet MS"/>
        <b val="0"/>
        <i/>
        <color theme="1"/>
        <sz val="10.0"/>
      </rPr>
      <t xml:space="preserve">
</t>
    </r>
    <r>
      <rPr>
        <rFont val="Trebuchet MS"/>
        <b val="0"/>
        <i/>
        <color theme="1"/>
        <sz val="8.0"/>
      </rPr>
      <t>(se debe incluir toda aquella característica que no ha sido posible incluir anteriormente)</t>
    </r>
  </si>
  <si>
    <t>Nº 1</t>
  </si>
  <si>
    <t xml:space="preserve">Mercado Libre </t>
  </si>
  <si>
    <t>https://listado.mercadolibre.com.co/dell-optiplex-3050</t>
  </si>
  <si>
    <t>CPU Dell Optiplex 3050 Reacondicionado / Core i5-6500 / 8GB RAM / 256GB SSD.</t>
  </si>
  <si>
    <t>CONTADO</t>
  </si>
  <si>
    <t>Equipo de bajo consumo y formato compacto, ideal para punto de venta y trabajo de oficina estándar.</t>
  </si>
  <si>
    <t xml:space="preserve">Nº2 </t>
  </si>
  <si>
    <t>AMAZON</t>
  </si>
  <si>
    <t>https://www.mipcparquecentral.com/products/computador-intel-celeron-g6900-8gb-ram-ssd-240gb-monitor-19</t>
  </si>
  <si>
    <t>Computador Completo (Monitor 19" incluido) / Intel Celeron G6900 / 8GB RAM / 240GB SSD.</t>
  </si>
  <si>
    <t>Configuración básica completa con monitor. Recomendada para tareas muy ligeras, como facturación e internet. Procesador de 12ª Gen.</t>
  </si>
  <si>
    <t>Nº 3</t>
  </si>
  <si>
    <t>https://linkcomputer.com.co/producto/torre-hp-prodesk-400-g6-core-i3-9100-8gb-ram-256gb-ssd/</t>
  </si>
  <si>
    <t>Torre HP ProDesk 400 G6 / Core i3-9100 / 8GB RAM / 256GB SSD.</t>
  </si>
  <si>
    <t>Torre corporativa con un buen equilibrio precio/rendimiento. Adecuada para software administrativo que requiere velocidad.</t>
  </si>
  <si>
    <r>
      <rPr>
        <rFont val="Arial"/>
        <b/>
        <color theme="1"/>
        <sz val="10.0"/>
      </rPr>
      <t xml:space="preserve">(a) Se deben presentar tres (3) presupuestos cuando:   
   </t>
    </r>
    <r>
      <rPr>
        <rFont val="Arial"/>
        <b val="0"/>
        <color theme="1"/>
        <sz val="10.0"/>
      </rPr>
      <t xml:space="preserve">El valor del gasto supere el monto de pesos un mil ($ 1.000,00). 
     Se pueden presentar al menos tres (3) solicitudes de cotización (del bien o servicio a contratar) cursadas a tres o más empresas oferentes.
     La selección del proveedor se hará con el criterio del más bajo precio.
     </t>
    </r>
    <r>
      <rPr>
        <rFont val="Arial"/>
        <b/>
        <color theme="1"/>
        <sz val="10.0"/>
      </rPr>
      <t>En caso de no contar con tres (3) presupuestos, o no poder seleccionar al proveedor que ofrece menor precio, presentar este cuadro una nota de justificación siguiendo las pautas del ítem    (XX)</t>
    </r>
    <r>
      <rPr>
        <rFont val="Arial"/>
        <b val="0"/>
        <color theme="1"/>
        <sz val="10.0"/>
      </rPr>
      <t xml:space="preserve">
</t>
    </r>
  </si>
  <si>
    <r>
      <rPr>
        <rFont val="Arial"/>
        <b/>
        <color theme="1"/>
        <sz val="10.0"/>
      </rPr>
      <t>(b) Ejemplos:</t>
    </r>
    <r>
      <rPr>
        <rFont val="Arial"/>
        <b val="0"/>
        <color theme="1"/>
        <sz val="10.0"/>
      </rPr>
      <t xml:space="preserve">
        En el caso de viajes, indicar Origen/Destino (si corresponde también escalas)
        Si se tratara de servicios tipo catering, indicar las cantidades de asistentes, así como los días en que se demanda la prestación del servicio.
        Si fuera papelería indicar, cantidades de afiches, trípticos, etc.</t>
    </r>
  </si>
  <si>
    <r>
      <rPr>
        <rFont val="Arial"/>
        <b/>
        <color theme="1"/>
        <sz val="10.0"/>
      </rPr>
      <t>Empresa</t>
    </r>
    <r>
      <rPr>
        <rFont val="Arial"/>
        <b val="0"/>
        <i/>
        <color theme="1"/>
        <sz val="10.0"/>
      </rPr>
      <t xml:space="preserve">
(Nombre fiscal de la empresa)</t>
    </r>
  </si>
  <si>
    <r>
      <rPr>
        <rFont val="Arial"/>
        <b/>
        <color theme="1"/>
        <sz val="10.0"/>
      </rPr>
      <t>Nº de CUIT, Dirección, Teléfono</t>
    </r>
    <r>
      <rPr>
        <rFont val="Arial"/>
        <b val="0"/>
        <i/>
        <color theme="1"/>
        <sz val="10.0"/>
      </rPr>
      <t xml:space="preserve">
(Datos de la empresa)</t>
    </r>
  </si>
  <si>
    <r>
      <rPr>
        <rFont val="Arial"/>
        <b/>
        <color theme="1"/>
        <sz val="10.0"/>
      </rPr>
      <t>Descripción del
bien/ servicio (b)</t>
    </r>
    <r>
      <rPr>
        <rFont val="Arial"/>
        <b val="0"/>
        <i/>
        <color theme="1"/>
        <sz val="10.0"/>
      </rPr>
      <t xml:space="preserve">
Características de los bienes/ servicios</t>
    </r>
  </si>
  <si>
    <r>
      <rPr>
        <rFont val="Arial"/>
        <b/>
        <color theme="1"/>
        <sz val="10.0"/>
      </rPr>
      <t xml:space="preserve">Importe Unitario
</t>
    </r>
    <r>
      <rPr>
        <rFont val="Arial"/>
        <b val="0"/>
        <i/>
        <color theme="1"/>
        <sz val="10.0"/>
      </rPr>
      <t>(moneda nacional)</t>
    </r>
  </si>
  <si>
    <r>
      <rPr>
        <rFont val="Arial"/>
        <b/>
        <color theme="1"/>
        <sz val="10.0"/>
        <u/>
      </rPr>
      <t xml:space="preserve">Importe Total
 IVA incluido
</t>
    </r>
    <r>
      <rPr>
        <rFont val="Arial"/>
        <b val="0"/>
        <i/>
        <color theme="1"/>
        <sz val="10.0"/>
        <u/>
      </rPr>
      <t>(moneda nacional)</t>
    </r>
  </si>
  <si>
    <r>
      <rPr>
        <rFont val="Arial"/>
        <b/>
        <color theme="1"/>
        <sz val="10.0"/>
      </rPr>
      <t xml:space="preserve">Importe Total
</t>
    </r>
    <r>
      <rPr>
        <rFont val="Arial"/>
        <b val="0"/>
        <i/>
        <color theme="1"/>
        <sz val="10.0"/>
      </rPr>
      <t>(moneda extranjera)</t>
    </r>
  </si>
  <si>
    <r>
      <rPr>
        <rFont val="Arial"/>
        <b/>
        <color theme="1"/>
        <sz val="10.0"/>
      </rPr>
      <t xml:space="preserve">Forma de Pago 
</t>
    </r>
    <r>
      <rPr>
        <rFont val="Arial"/>
        <b val="0"/>
        <i/>
        <color theme="1"/>
        <sz val="10.0"/>
      </rPr>
      <t>(Contado o Cheque)</t>
    </r>
  </si>
  <si>
    <r>
      <rPr>
        <rFont val="Arial"/>
        <b/>
        <color theme="1"/>
        <sz val="10.0"/>
      </rPr>
      <t xml:space="preserve">Observaciones </t>
    </r>
    <r>
      <rPr>
        <rFont val="Arial"/>
        <b val="0"/>
        <i/>
        <color theme="1"/>
        <sz val="10.0"/>
      </rPr>
      <t xml:space="preserve">
(se debe incluir toda aquella característica que no ha sido posible incluir anteriormente)</t>
    </r>
  </si>
  <si>
    <t>Mercado libreKtronix Salitre</t>
  </si>
  <si>
    <t>NIT: 900.235.847-1 — Av. El Dorado #68C-61 — Tel: (601) 508 1500</t>
  </si>
  <si>
    <t>Monitor Samsung 24’’ FHD</t>
  </si>
  <si>
    <t>Incluye cable HDMI.</t>
  </si>
  <si>
    <t>Speed Logic Unilago</t>
  </si>
  <si>
    <t>NIT: 830.129.442-5 — Cra 15 #78-33 Local 2-040 — Tel: 314 567 8890</t>
  </si>
  <si>
    <t>Monitor LG 24’’ IPS Borderless</t>
  </si>
  <si>
    <t>Garantía de 1 año.</t>
  </si>
  <si>
    <t>CometWare Bogotá</t>
  </si>
  <si>
    <t>NIT: 901.112.554-8 — Calle 79 #15-29 — Tel: 320 889 5511</t>
  </si>
  <si>
    <t>Monitor ASUS 24’’ 75Hz</t>
  </si>
  <si>
    <t>Ideal para oficina y estudio.</t>
  </si>
  <si>
    <r>
      <rPr>
        <rFont val="Arial"/>
        <b/>
        <color theme="1"/>
        <sz val="10.0"/>
      </rPr>
      <t xml:space="preserve">(a) Se deben presentar tres (3) presupuestos cuando:   
   </t>
    </r>
    <r>
      <rPr>
        <rFont val="Arial"/>
        <b val="0"/>
        <color theme="1"/>
        <sz val="10.0"/>
      </rPr>
      <t>El valor del gasto supere el monto de pesos un mil ($ 1.000,00). 
     Se pueden presentar al menos tres (3)</t>
    </r>
    <r>
      <rPr>
        <rFont val="Arial"/>
        <b val="0"/>
        <color theme="1"/>
        <sz val="10.0"/>
      </rPr>
      <t xml:space="preserve"> solicitudes de cotización (del bien o servicio a contratar) cursadas</t>
    </r>
    <r>
      <rPr>
        <rFont val="Arial"/>
        <b val="0"/>
        <color theme="1"/>
        <sz val="10.0"/>
      </rPr>
      <t xml:space="preserve"> a tres o más empresas oferentes.
     L</t>
    </r>
    <r>
      <rPr>
        <rFont val="Arial"/>
        <b val="0"/>
        <color theme="1"/>
        <sz val="10.0"/>
      </rPr>
      <t xml:space="preserve">a selección del proveedor se hará con el criterio del más bajo precio.
     </t>
    </r>
    <r>
      <rPr>
        <rFont val="Arial"/>
        <b/>
        <color theme="1"/>
        <sz val="10.0"/>
      </rPr>
      <t>En caso de no contar con tres (3) presupuestos, o no poder seleccionar al proveedor que ofrece menor precio, presentar este cuadro una nota de justificación siguiendo las pautas del ítem    (XX)</t>
    </r>
    <r>
      <rPr>
        <rFont val="Arial"/>
        <b val="0"/>
        <color theme="1"/>
        <sz val="10.0"/>
      </rPr>
      <t xml:space="preserve">
</t>
    </r>
  </si>
  <si>
    <r>
      <rPr>
        <rFont val="Arial"/>
        <b/>
        <color theme="1"/>
        <sz val="10.0"/>
      </rPr>
      <t>(b) Ejemplos:</t>
    </r>
    <r>
      <rPr>
        <rFont val="Arial"/>
        <b val="0"/>
        <color theme="1"/>
        <sz val="10.0"/>
      </rPr>
      <t xml:space="preserve">
        En el caso de viajes, indicar Origen/Destino (si corresponde también escalas)
        Si se tratara de servicios tipo catering, indicar las cantidades de asistentes, así como los días en que se demanda la prestación del servicio.
        Si fuera papelería indicar, cantidades de afiches, trípticos, etc.</t>
    </r>
  </si>
  <si>
    <r>
      <rPr>
        <rFont val="Trebuchet MS"/>
        <b/>
        <color theme="1"/>
        <sz val="10.0"/>
      </rPr>
      <t>Empresa</t>
    </r>
    <r>
      <rPr>
        <rFont val="Trebuchet MS"/>
        <b val="0"/>
        <i/>
        <color theme="1"/>
        <sz val="8.0"/>
      </rPr>
      <t xml:space="preserve">
(Nombre fiscal de la empresa)</t>
    </r>
  </si>
  <si>
    <r>
      <rPr>
        <rFont val="Trebuchet MS"/>
        <b/>
        <color theme="1"/>
        <sz val="10.0"/>
      </rPr>
      <t>Nº de CUIT, Dirección, Teléfono</t>
    </r>
    <r>
      <rPr>
        <rFont val="Trebuchet MS"/>
        <b val="0"/>
        <i/>
        <color theme="1"/>
        <sz val="10.0"/>
      </rPr>
      <t xml:space="preserve">
</t>
    </r>
    <r>
      <rPr>
        <rFont val="Trebuchet MS"/>
        <b val="0"/>
        <i/>
        <color theme="1"/>
        <sz val="8.0"/>
      </rPr>
      <t>(Datos de la empresa)</t>
    </r>
  </si>
  <si>
    <r>
      <rPr>
        <rFont val="Trebuchet MS"/>
        <b/>
        <color theme="1"/>
        <sz val="10.0"/>
      </rPr>
      <t>Descripción del
bien/ servicio (b)</t>
    </r>
    <r>
      <rPr>
        <rFont val="Trebuchet MS"/>
        <b val="0"/>
        <i/>
        <color theme="1"/>
        <sz val="10.0"/>
      </rPr>
      <t xml:space="preserve">
</t>
    </r>
    <r>
      <rPr>
        <rFont val="Trebuchet MS"/>
        <b val="0"/>
        <i/>
        <color theme="1"/>
        <sz val="8.0"/>
      </rPr>
      <t>Características de los bienes/ servicios</t>
    </r>
  </si>
  <si>
    <r>
      <rPr>
        <rFont val="Trebuchet MS"/>
        <b/>
        <color theme="1"/>
        <sz val="10.0"/>
      </rPr>
      <t xml:space="preserve">Importe Unitario
</t>
    </r>
    <r>
      <rPr>
        <rFont val="Trebuchet MS"/>
        <b val="0"/>
        <i/>
        <color theme="1"/>
        <sz val="8.0"/>
      </rPr>
      <t>(moneda nacional)</t>
    </r>
  </si>
  <si>
    <r>
      <rPr>
        <rFont val="Trebuchet MS"/>
        <b/>
        <color theme="1"/>
        <sz val="10.0"/>
        <u/>
      </rPr>
      <t>Importe Total</t>
    </r>
    <r>
      <rPr>
        <rFont val="Trebuchet MS"/>
        <b/>
        <color theme="1"/>
        <sz val="10.0"/>
        <u/>
      </rPr>
      <t xml:space="preserve">
 IVA incluido
</t>
    </r>
    <r>
      <rPr>
        <rFont val="Trebuchet MS"/>
        <b val="0"/>
        <i/>
        <color theme="1"/>
        <sz val="8.0"/>
        <u/>
      </rPr>
      <t>(moneda nacional)</t>
    </r>
  </si>
  <si>
    <r>
      <rPr>
        <rFont val="Arial"/>
        <b/>
        <color theme="1"/>
        <sz val="10.0"/>
      </rPr>
      <t xml:space="preserve">Importe Total
</t>
    </r>
    <r>
      <rPr>
        <rFont val="Arial"/>
        <b val="0"/>
        <i/>
        <color theme="1"/>
        <sz val="8.0"/>
      </rPr>
      <t>(moneda extranjera)</t>
    </r>
  </si>
  <si>
    <r>
      <rPr>
        <rFont val="Trebuchet MS"/>
        <b/>
        <color theme="1"/>
        <sz val="10.0"/>
      </rPr>
      <t xml:space="preserve">Forma de Pago 
</t>
    </r>
    <r>
      <rPr>
        <rFont val="Trebuchet MS"/>
        <b val="0"/>
        <i/>
        <color theme="1"/>
        <sz val="8.0"/>
      </rPr>
      <t>(Contado o Cheque)</t>
    </r>
  </si>
  <si>
    <r>
      <rPr>
        <rFont val="Trebuchet MS"/>
        <b/>
        <color theme="1"/>
        <sz val="10.0"/>
      </rPr>
      <t xml:space="preserve">Observaciones </t>
    </r>
    <r>
      <rPr>
        <rFont val="Trebuchet MS"/>
        <b val="0"/>
        <i/>
        <color theme="1"/>
        <sz val="10.0"/>
      </rPr>
      <t xml:space="preserve">
</t>
    </r>
    <r>
      <rPr>
        <rFont val="Trebuchet MS"/>
        <b val="0"/>
        <i/>
        <color theme="1"/>
        <sz val="8.0"/>
      </rPr>
      <t>(se debe incluir toda aquella característica que no ha sido posible incluir anteriormente)</t>
    </r>
  </si>
  <si>
    <t xml:space="preserve">Ktronix </t>
  </si>
  <si>
    <t>NIT: 900.236.587-2 — Av. Caracas #45-67 — Tel: (601) 514 2030</t>
  </si>
  <si>
    <t>SSD Kingston NV2 500GB NVMe</t>
  </si>
  <si>
    <t xml:space="preserve">CONTADO </t>
  </si>
  <si>
    <t>Útil para guardar programas y documentos con su capacidad de 500 GB.</t>
  </si>
  <si>
    <t>Alkosto</t>
  </si>
  <si>
    <t>NIT: 800.124.678-9 — Av. 68 #68B-31 — Tel: (601) 427 7700</t>
  </si>
  <si>
    <t>SSD Western Digital SN570 1TB NVMe</t>
  </si>
  <si>
    <t>Perfecto para actualizar computVelocidad hasta 3500 MB/s, ideal para gaming.adores antiguos.</t>
  </si>
  <si>
    <t>Panamericana</t>
  </si>
  <si>
    <t>NIT: 860.002.872-8 — Calle 72 #10-34 — Tel: (601) 347 1111</t>
  </si>
  <si>
    <t>SSD Samsung 870 EVO 500GB (SATA)</t>
  </si>
  <si>
    <t>Perfecto para actualizar computadores antiguos.</t>
  </si>
  <si>
    <r>
      <rPr>
        <rFont val="Arial"/>
        <b/>
        <color theme="1"/>
        <sz val="10.0"/>
      </rPr>
      <t xml:space="preserve">(a) Se deben presentar tres (3) presupuestos cuando:   
   </t>
    </r>
    <r>
      <rPr>
        <rFont val="Arial"/>
        <b val="0"/>
        <color theme="1"/>
        <sz val="10.0"/>
      </rPr>
      <t>El valor del gasto supere el monto de pesos un mil ($ 1.000,00). 
     Se pueden presentar al menos tres (3)</t>
    </r>
    <r>
      <rPr>
        <rFont val="Arial"/>
        <b val="0"/>
        <color theme="1"/>
        <sz val="10.0"/>
      </rPr>
      <t xml:space="preserve"> solicitudes de cotización (del bien o servicio a contratar) cursadas</t>
    </r>
    <r>
      <rPr>
        <rFont val="Arial"/>
        <b val="0"/>
        <color theme="1"/>
        <sz val="10.0"/>
      </rPr>
      <t xml:space="preserve"> a tres o más empresas oferentes.
     L</t>
    </r>
    <r>
      <rPr>
        <rFont val="Arial"/>
        <b val="0"/>
        <color theme="1"/>
        <sz val="10.0"/>
      </rPr>
      <t xml:space="preserve">a selección del proveedor se hará con el criterio del más bajo precio.
     </t>
    </r>
    <r>
      <rPr>
        <rFont val="Arial"/>
        <b/>
        <color theme="1"/>
        <sz val="10.0"/>
      </rPr>
      <t>En caso de no contar con tres (3) presupuestos, o no poder seleccionar al proveedor que ofrece menor precio, presentar este cuadro una nota de justificación siguiendo las pautas del ítem    (XX)</t>
    </r>
    <r>
      <rPr>
        <rFont val="Arial"/>
        <b val="0"/>
        <color theme="1"/>
        <sz val="10.0"/>
      </rPr>
      <t xml:space="preserve">
</t>
    </r>
  </si>
  <si>
    <r>
      <rPr>
        <rFont val="Arial"/>
        <b/>
        <color theme="1"/>
        <sz val="10.0"/>
      </rPr>
      <t>(b) Ejemplos:</t>
    </r>
    <r>
      <rPr>
        <rFont val="Arial"/>
        <b val="0"/>
        <color theme="1"/>
        <sz val="10.0"/>
      </rPr>
      <t xml:space="preserve">
        En el caso de viajes, indicar Origen/Destino (si corresponde también escalas)
        Si se tratara de servicios tipo catering, indicar las cantidades de asistentes, así como los días en que se demanda la prestación del servicio.
        Si fuera papelería indicar, cantidades de afiches, trípticos, etc.</t>
    </r>
  </si>
  <si>
    <r>
      <rPr>
        <rFont val="Trebuchet MS"/>
        <b/>
        <color theme="1"/>
        <sz val="10.0"/>
      </rPr>
      <t>Empresa</t>
    </r>
    <r>
      <rPr>
        <rFont val="Trebuchet MS"/>
        <b val="0"/>
        <i/>
        <color theme="1"/>
        <sz val="8.0"/>
      </rPr>
      <t xml:space="preserve">
(Nombre fiscal de la empresa)</t>
    </r>
  </si>
  <si>
    <r>
      <rPr>
        <rFont val="Trebuchet MS"/>
        <b/>
        <color theme="1"/>
        <sz val="10.0"/>
      </rPr>
      <t>Nº de CUIT, Dirección, Teléfono</t>
    </r>
    <r>
      <rPr>
        <rFont val="Trebuchet MS"/>
        <b val="0"/>
        <i/>
        <color theme="1"/>
        <sz val="10.0"/>
      </rPr>
      <t xml:space="preserve">
</t>
    </r>
    <r>
      <rPr>
        <rFont val="Trebuchet MS"/>
        <b val="0"/>
        <i/>
        <color theme="1"/>
        <sz val="8.0"/>
      </rPr>
      <t>(Datos de la empresa)</t>
    </r>
  </si>
  <si>
    <r>
      <rPr>
        <rFont val="Trebuchet MS"/>
        <b/>
        <color theme="1"/>
        <sz val="10.0"/>
      </rPr>
      <t>Descripción del
bien/ servicio (b)</t>
    </r>
    <r>
      <rPr>
        <rFont val="Trebuchet MS"/>
        <b val="0"/>
        <i/>
        <color theme="1"/>
        <sz val="10.0"/>
      </rPr>
      <t xml:space="preserve">
</t>
    </r>
    <r>
      <rPr>
        <rFont val="Trebuchet MS"/>
        <b val="0"/>
        <i/>
        <color theme="1"/>
        <sz val="8.0"/>
      </rPr>
      <t>Características de los bienes/ servicios</t>
    </r>
  </si>
  <si>
    <r>
      <rPr>
        <rFont val="Trebuchet MS"/>
        <b/>
        <color theme="1"/>
        <sz val="10.0"/>
      </rPr>
      <t xml:space="preserve">Importe Unitario
</t>
    </r>
    <r>
      <rPr>
        <rFont val="Trebuchet MS"/>
        <b val="0"/>
        <i/>
        <color theme="1"/>
        <sz val="8.0"/>
      </rPr>
      <t>(moneda nacional)</t>
    </r>
  </si>
  <si>
    <r>
      <rPr>
        <rFont val="Trebuchet MS"/>
        <b/>
        <color theme="1"/>
        <sz val="10.0"/>
        <u/>
      </rPr>
      <t>Importe Total</t>
    </r>
    <r>
      <rPr>
        <rFont val="Trebuchet MS"/>
        <b/>
        <color theme="1"/>
        <sz val="10.0"/>
        <u/>
      </rPr>
      <t xml:space="preserve">
 IVA incluido
</t>
    </r>
    <r>
      <rPr>
        <rFont val="Trebuchet MS"/>
        <b val="0"/>
        <i/>
        <color theme="1"/>
        <sz val="8.0"/>
        <u/>
      </rPr>
      <t>(moneda nacional)</t>
    </r>
  </si>
  <si>
    <r>
      <rPr>
        <rFont val="Arial"/>
        <b/>
        <color theme="1"/>
        <sz val="10.0"/>
      </rPr>
      <t xml:space="preserve">Importe Total
</t>
    </r>
    <r>
      <rPr>
        <rFont val="Arial"/>
        <b val="0"/>
        <i/>
        <color theme="1"/>
        <sz val="8.0"/>
      </rPr>
      <t>(moneda extranjera)</t>
    </r>
  </si>
  <si>
    <r>
      <rPr>
        <rFont val="Trebuchet MS"/>
        <b/>
        <color theme="1"/>
        <sz val="10.0"/>
      </rPr>
      <t xml:space="preserve">Forma de Pago 
</t>
    </r>
    <r>
      <rPr>
        <rFont val="Trebuchet MS"/>
        <b val="0"/>
        <i/>
        <color theme="1"/>
        <sz val="8.0"/>
      </rPr>
      <t>(Contado o Cheque)</t>
    </r>
  </si>
  <si>
    <r>
      <rPr>
        <rFont val="Trebuchet MS"/>
        <b/>
        <color theme="1"/>
        <sz val="10.0"/>
      </rPr>
      <t xml:space="preserve">Observaciones </t>
    </r>
    <r>
      <rPr>
        <rFont val="Trebuchet MS"/>
        <b val="0"/>
        <i/>
        <color theme="1"/>
        <sz val="10.0"/>
      </rPr>
      <t xml:space="preserve">
</t>
    </r>
    <r>
      <rPr>
        <rFont val="Trebuchet MS"/>
        <b val="0"/>
        <i/>
        <color theme="1"/>
        <sz val="8.0"/>
      </rPr>
      <t>(se debe incluir toda aquella característica que no ha sido posible incluir anteriormente)</t>
    </r>
  </si>
  <si>
    <t>ALKOSTO</t>
  </si>
  <si>
    <t>https://www.alkosto.com/unidad-estado-solido-kingston-480gb/p/740617263442?fuente=google&amp;medio=cpc&amp;campaign=AK_COL_MAX_PEF_CPC_AON_VJ_TLP_Accesorios-Videojuegos-AON_PAC&amp;keyword=&amp;gad_source=4&amp;gad_campaignid=17338992415&amp;gbraid=0AAAAADlnVbgA7i95wfJcIcsfq8XZsIHh4&amp;gclid=Cj0KCQiA9OnJBhD-ARIsAPV51xNvb45a06UDqXsiBOM-twG8zgiI-sv311T-Nbovg67OK-4oyprDLRQaAlLzEALw_wcB</t>
  </si>
  <si>
    <t xml:space="preserve">Unidad Estado Solido KINGSTON 480GB
</t>
  </si>
  <si>
    <t>La unidad de estado sólido KINGSTON opera más rápido, más silenciosamente y se mantiene mas fresca que la tecnología de los discos duros internos</t>
  </si>
  <si>
    <t>https://www.alkosto.com/unidad-estado-solido-adata-su650-512gb/p/4711085931528?fuente=google&amp;medio=cpc&amp;campaign=AK_COL_MAX_PEF_CPC_AON_VJ_TLP_Accesorios-Videojuegos-AON_PAC&amp;keyword=&amp;gad_source=4&amp;gad_campaignid=17338992415&amp;gbraid=0AAAAADlnVbgA7i95wfJcIcsfq8XZsIHh4&amp;gclid=Cj0KCQiA9OnJBhD-ARIsAPV51xPdL1hv5RfWEau71GysQzFoL3lL_8YgSkeatC1LS4Pz133aXZZRUXsaAvmQEALw_wcB</t>
  </si>
  <si>
    <t xml:space="preserve">Unidad Estado Solido ADATA SU650 512GB
</t>
  </si>
  <si>
    <t>Rendimiento de lectura/escritura de hasta 520/450MB/s, mayor fiabilidad para aquellos que quieren experimentar una mejora de su PC,</t>
  </si>
  <si>
    <t>MERCADO LIBRE</t>
  </si>
  <si>
    <t>https://www.mercadolibre.com.co/disco-estado-solido-ssd-kingston-25-a400-960gb-negro/p/MCO26810824? pdp_filters=item_id%3AMCO1398802107&amp;from=gshop&amp;matt_tool=32927594&amp;matt_word=&amp;matt_source=google&amp;matt_campaign_id=22126928795&amp;matt_ad_group_id=173140669883&amp;matt_match_type=&amp;matt_network=g&amp;matt_device=c&amp;matt_creative=729917880236&amp;matt_keyword=&amp;matt_ad_position=&amp;matt_ad_type=pla&amp;matt_merchant_id=735122983&amp;matt_product_id=MCO26810824-product&amp;matt_product_partition_id=2389849485285&amp;matt_target_id=pla-2389849485285&amp;cq_src=google_ads&amp;cq_cmp=22126928795&amp;cq_net=g&amp;cq_plt=gp&amp;cq_med=pla&amp;gad_source=4&amp;gad_campaignid=22126928795&amp;gbraid=0AAAAAD1Dcoy9w5dxWdNu1whWxagGuq9OD&amp;gclid=Cj0KCQiA9OnJBhD-ARIsAPV51xOeIpmcJqAvxRNaYgFgfMC9qFuRWXlhQi3vLDBcgK4vuVIil1RCb0saAracEALw_wcB</t>
  </si>
  <si>
    <t xml:space="preserve">Disco estado sólido SSD Kingston 2.5 A400 960gb Negro
</t>
  </si>
  <si>
    <t>Mejora significativamente la velocidad de respuesta del sistema sin necesidad de actualizaciones de hardware adicionales</t>
  </si>
  <si>
    <r>
      <rPr>
        <rFont val="Arial"/>
        <b/>
        <color theme="1"/>
        <sz val="10.0"/>
      </rPr>
      <t xml:space="preserve">(a) Se deben presentar tres (3) presupuestos cuando:   
   </t>
    </r>
    <r>
      <rPr>
        <rFont val="Arial"/>
        <b val="0"/>
        <color theme="1"/>
        <sz val="10.0"/>
      </rPr>
      <t>El valor del gasto supere el monto de pesos un mil ($ 1.000,00). 
     Se pueden presentar al menos tres (3)</t>
    </r>
    <r>
      <rPr>
        <rFont val="Arial"/>
        <b val="0"/>
        <color theme="1"/>
        <sz val="10.0"/>
      </rPr>
      <t xml:space="preserve"> solicitudes de cotización (del bien o servicio a contratar) cursadas</t>
    </r>
    <r>
      <rPr>
        <rFont val="Arial"/>
        <b val="0"/>
        <color theme="1"/>
        <sz val="10.0"/>
      </rPr>
      <t xml:space="preserve"> a tres o más empresas oferentes.
     L</t>
    </r>
    <r>
      <rPr>
        <rFont val="Arial"/>
        <b val="0"/>
        <color theme="1"/>
        <sz val="10.0"/>
      </rPr>
      <t xml:space="preserve">a selección del proveedor se hará con el criterio del más bajo precio.
     </t>
    </r>
    <r>
      <rPr>
        <rFont val="Arial"/>
        <b/>
        <color theme="1"/>
        <sz val="10.0"/>
      </rPr>
      <t>En caso de no contar con tres (3) presupuestos, o no poder seleccionar al proveedor que ofrece menor precio, presentar este cuadro una nota de justificación siguiendo las pautas del ítem    (XX)</t>
    </r>
    <r>
      <rPr>
        <rFont val="Arial"/>
        <b val="0"/>
        <color theme="1"/>
        <sz val="10.0"/>
      </rPr>
      <t xml:space="preserve">
</t>
    </r>
  </si>
  <si>
    <r>
      <rPr>
        <rFont val="Arial"/>
        <b/>
        <color theme="1"/>
        <sz val="10.0"/>
      </rPr>
      <t>(b) Ejemplos:</t>
    </r>
    <r>
      <rPr>
        <rFont val="Arial"/>
        <b val="0"/>
        <color theme="1"/>
        <sz val="10.0"/>
      </rPr>
      <t xml:space="preserve">
        En el caso de viajes, indicar Origen/Destino (si corresponde también escalas)
        Si se tratara de servicios tipo catering, indicar las cantidades de asistentes, así como los días en que se demanda la prestación del servicio.
        Si fuera papelería indicar, cantidades de afiches, trípticos, etc.</t>
    </r>
  </si>
  <si>
    <r>
      <rPr>
        <rFont val="Trebuchet MS"/>
        <b/>
        <color theme="1"/>
        <sz val="10.0"/>
      </rPr>
      <t>Empresa</t>
    </r>
    <r>
      <rPr>
        <rFont val="Trebuchet MS"/>
        <b val="0"/>
        <i/>
        <color theme="1"/>
        <sz val="8.0"/>
      </rPr>
      <t xml:space="preserve">
(Nombre fiscal de la empresa)</t>
    </r>
  </si>
  <si>
    <r>
      <rPr>
        <rFont val="Trebuchet MS"/>
        <b/>
        <color theme="1"/>
        <sz val="10.0"/>
      </rPr>
      <t>Nº de CUIT, Dirección, Teléfono</t>
    </r>
    <r>
      <rPr>
        <rFont val="Trebuchet MS"/>
        <b val="0"/>
        <i/>
        <color theme="1"/>
        <sz val="10.0"/>
      </rPr>
      <t xml:space="preserve">
</t>
    </r>
    <r>
      <rPr>
        <rFont val="Trebuchet MS"/>
        <b val="0"/>
        <i/>
        <color theme="1"/>
        <sz val="8.0"/>
      </rPr>
      <t>(Datos de la empresa)</t>
    </r>
  </si>
  <si>
    <r>
      <rPr>
        <rFont val="Trebuchet MS"/>
        <b/>
        <color theme="1"/>
        <sz val="10.0"/>
      </rPr>
      <t>Descripción del
bien/ servicio (b)</t>
    </r>
    <r>
      <rPr>
        <rFont val="Trebuchet MS"/>
        <b val="0"/>
        <i/>
        <color theme="1"/>
        <sz val="10.0"/>
      </rPr>
      <t xml:space="preserve">
</t>
    </r>
    <r>
      <rPr>
        <rFont val="Trebuchet MS"/>
        <b val="0"/>
        <i/>
        <color theme="1"/>
        <sz val="8.0"/>
      </rPr>
      <t>Características de los bienes/ servicios</t>
    </r>
  </si>
  <si>
    <r>
      <rPr>
        <rFont val="Trebuchet MS"/>
        <b/>
        <color theme="1"/>
        <sz val="10.0"/>
      </rPr>
      <t xml:space="preserve">Importe Unitario
</t>
    </r>
    <r>
      <rPr>
        <rFont val="Trebuchet MS"/>
        <b val="0"/>
        <i/>
        <color theme="1"/>
        <sz val="8.0"/>
      </rPr>
      <t>(moneda nacional)</t>
    </r>
  </si>
  <si>
    <r>
      <rPr>
        <rFont val="Trebuchet MS"/>
        <b/>
        <color theme="1"/>
        <sz val="10.0"/>
        <u/>
      </rPr>
      <t>Importe Total</t>
    </r>
    <r>
      <rPr>
        <rFont val="Trebuchet MS"/>
        <b/>
        <color theme="1"/>
        <sz val="10.0"/>
        <u/>
      </rPr>
      <t xml:space="preserve">
 IVA incluido
</t>
    </r>
    <r>
      <rPr>
        <rFont val="Trebuchet MS"/>
        <b val="0"/>
        <i/>
        <color theme="1"/>
        <sz val="8.0"/>
        <u/>
      </rPr>
      <t>(moneda nacional)</t>
    </r>
  </si>
  <si>
    <r>
      <rPr>
        <rFont val="Arial"/>
        <b/>
        <color theme="1"/>
        <sz val="10.0"/>
      </rPr>
      <t xml:space="preserve">Importe Total
</t>
    </r>
    <r>
      <rPr>
        <rFont val="Arial"/>
        <b val="0"/>
        <i/>
        <color theme="1"/>
        <sz val="8.0"/>
      </rPr>
      <t>(moneda extranjera)</t>
    </r>
  </si>
  <si>
    <r>
      <rPr>
        <rFont val="Trebuchet MS"/>
        <b/>
        <color theme="1"/>
        <sz val="10.0"/>
      </rPr>
      <t xml:space="preserve">Forma de Pago 
</t>
    </r>
    <r>
      <rPr>
        <rFont val="Trebuchet MS"/>
        <b val="0"/>
        <i/>
        <color theme="1"/>
        <sz val="8.0"/>
      </rPr>
      <t>(Contado o Cheque)</t>
    </r>
  </si>
  <si>
    <r>
      <rPr>
        <rFont val="Trebuchet MS"/>
        <b/>
        <color theme="1"/>
        <sz val="10.0"/>
      </rPr>
      <t xml:space="preserve">Observaciones </t>
    </r>
    <r>
      <rPr>
        <rFont val="Trebuchet MS"/>
        <b val="0"/>
        <i/>
        <color theme="1"/>
        <sz val="10.0"/>
      </rPr>
      <t xml:space="preserve">
</t>
    </r>
    <r>
      <rPr>
        <rFont val="Trebuchet MS"/>
        <b val="0"/>
        <i/>
        <color theme="1"/>
        <sz val="8.0"/>
      </rPr>
      <t>(se debe incluir toda aquella característica que no ha sido posible incluir anteriormente)</t>
    </r>
  </si>
  <si>
    <t xml:space="preserve">Mercado libre </t>
  </si>
  <si>
    <t>https://www.mercadolibre.com.co/servidor-rack-marca-ciara-intel-xeon-e3-1260l-16gb-1tb/up/MCOU2403468563#polycard_client=search-nordic&amp;search_layout=stack&amp;position=4&amp;type=product&amp;tracking_id=4fc7c903-2203-44d9-aebc-ba122640b93a&amp;wid=MCO1318922175&amp;sid=search</t>
  </si>
  <si>
    <t xml:space="preserve">HPE PROLIANT MICROSERVER </t>
  </si>
  <si>
    <t>Velocidad : 2.5Ghz
Disco Duro : 1 TB SATA
Generacion : Gen10 Plus v2</t>
  </si>
  <si>
    <t xml:space="preserve">MERCADO LIBRE </t>
  </si>
  <si>
    <t>https://www.mercadolibre.com.co/servidor-lenovo-ts440-intel-xeon-e3-1226-v3-ram-32gb-1tb-ssd/up/MCOU2996417764#polycard_client=search-nordic&amp;search_layout=stack&amp;position=17&amp;type=product&amp;tracking_id=829c51ba-fcda-4fae-8e77-239ccea5cbc7&amp;wid=MCO1536679709&amp;sid=search</t>
  </si>
  <si>
    <t xml:space="preserve">Servidor Lenovo System X3650  M5 1 Tb 64 Gb Ninguna
 con Intel Xeon E-2468 y 16GB DDR5
</t>
  </si>
  <si>
    <t>Capacidad del disco: 1 TB
Memoria RAM: 64 GB
Modelo del procesador: E5-2650 V3
Marca del procesador: Inte</t>
  </si>
  <si>
    <t>https://www.compulago.com/producto/hpe-proliant-microserver-gen10-plus-v2-e2314-nhp-1tb-2323-03351427/</t>
  </si>
  <si>
    <t>Servidor Lenovo ThinkSystem ST250 V3 con Intel Xeon E-2468 y 16GB DDR5</t>
  </si>
  <si>
    <t>procesador Intel Xeon E-2468 de 8 núcleos a 2.6GHz 
 16GB de memoria DDR5 a 4800 MHz.</t>
  </si>
  <si>
    <r>
      <rPr>
        <rFont val="Arial"/>
        <b/>
        <color theme="1"/>
        <sz val="10.0"/>
      </rPr>
      <t xml:space="preserve">(a) Se deben presentar tres (3) presupuestos cuando:   
   </t>
    </r>
    <r>
      <rPr>
        <rFont val="Arial"/>
        <b val="0"/>
        <color theme="1"/>
        <sz val="10.0"/>
      </rPr>
      <t>El valor del gasto supere el monto de pesos un mil ($ 1.000,00). 
     Se pueden presentar al menos tres (3)</t>
    </r>
    <r>
      <rPr>
        <rFont val="Arial"/>
        <b val="0"/>
        <color theme="1"/>
        <sz val="10.0"/>
      </rPr>
      <t xml:space="preserve"> solicitudes de cotización (del bien o servicio a contratar) cursadas</t>
    </r>
    <r>
      <rPr>
        <rFont val="Arial"/>
        <b val="0"/>
        <color theme="1"/>
        <sz val="10.0"/>
      </rPr>
      <t xml:space="preserve"> a tres o más empresas oferentes.
     L</t>
    </r>
    <r>
      <rPr>
        <rFont val="Arial"/>
        <b val="0"/>
        <color theme="1"/>
        <sz val="10.0"/>
      </rPr>
      <t xml:space="preserve">a selección del proveedor se hará con el criterio del más bajo precio.
     </t>
    </r>
    <r>
      <rPr>
        <rFont val="Arial"/>
        <b/>
        <color theme="1"/>
        <sz val="10.0"/>
      </rPr>
      <t>En caso de no contar con tres (3) presupuestos, o no poder seleccionar al proveedor que ofrece menor precio, presentar este cuadro una nota de justificación siguiendo las pautas del ítem    (XX)</t>
    </r>
    <r>
      <rPr>
        <rFont val="Arial"/>
        <b val="0"/>
        <color theme="1"/>
        <sz val="10.0"/>
      </rPr>
      <t xml:space="preserve">
</t>
    </r>
  </si>
  <si>
    <r>
      <rPr>
        <rFont val="Arial"/>
        <b/>
        <color theme="1"/>
        <sz val="10.0"/>
      </rPr>
      <t>(b) Ejemplos:</t>
    </r>
    <r>
      <rPr>
        <rFont val="Arial"/>
        <b val="0"/>
        <color theme="1"/>
        <sz val="10.0"/>
      </rPr>
      <t xml:space="preserve">
        En el caso de viajes, indicar Origen/Destino (si corresponde también escalas)
        Si se tratara de servicios tipo catering, indicar las cantidades de asistentes, así como los días en que se demanda la prestación del servicio.
        Si fuera papelería indicar, cantidades de afiches, trípticos, etc.</t>
    </r>
  </si>
  <si>
    <r>
      <rPr>
        <rFont val="Trebuchet MS"/>
        <b/>
        <color theme="1"/>
        <sz val="10.0"/>
      </rPr>
      <t>Empresa</t>
    </r>
    <r>
      <rPr>
        <rFont val="Trebuchet MS"/>
        <b val="0"/>
        <i/>
        <color theme="1"/>
        <sz val="8.0"/>
      </rPr>
      <t xml:space="preserve">
(Nombre fiscal de la empresa)</t>
    </r>
  </si>
  <si>
    <r>
      <rPr>
        <rFont val="Trebuchet MS"/>
        <b/>
        <color theme="1"/>
        <sz val="10.0"/>
      </rPr>
      <t>Nº de CUIT, Dirección, Teléfono</t>
    </r>
    <r>
      <rPr>
        <rFont val="Trebuchet MS"/>
        <b val="0"/>
        <i/>
        <color theme="1"/>
        <sz val="10.0"/>
      </rPr>
      <t xml:space="preserve">
</t>
    </r>
    <r>
      <rPr>
        <rFont val="Trebuchet MS"/>
        <b val="0"/>
        <i/>
        <color theme="1"/>
        <sz val="8.0"/>
      </rPr>
      <t>(Datos de la empresa)</t>
    </r>
  </si>
  <si>
    <r>
      <rPr>
        <rFont val="Trebuchet MS"/>
        <b/>
        <color theme="1"/>
        <sz val="10.0"/>
      </rPr>
      <t>Descripción del
bien/ servicio (b)</t>
    </r>
    <r>
      <rPr>
        <rFont val="Trebuchet MS"/>
        <b val="0"/>
        <i/>
        <color theme="1"/>
        <sz val="10.0"/>
      </rPr>
      <t xml:space="preserve">
</t>
    </r>
    <r>
      <rPr>
        <rFont val="Trebuchet MS"/>
        <b val="0"/>
        <i/>
        <color theme="1"/>
        <sz val="8.0"/>
      </rPr>
      <t>Características de los bienes/ servicios</t>
    </r>
  </si>
  <si>
    <r>
      <rPr>
        <rFont val="Trebuchet MS"/>
        <b/>
        <color theme="1"/>
        <sz val="10.0"/>
      </rPr>
      <t xml:space="preserve">Importe Unitario
</t>
    </r>
    <r>
      <rPr>
        <rFont val="Trebuchet MS"/>
        <b val="0"/>
        <i/>
        <color theme="1"/>
        <sz val="8.0"/>
      </rPr>
      <t>(moneda nacional)</t>
    </r>
  </si>
  <si>
    <r>
      <rPr>
        <rFont val="Trebuchet MS"/>
        <b/>
        <color theme="1"/>
        <sz val="10.0"/>
        <u/>
      </rPr>
      <t>Importe Total</t>
    </r>
    <r>
      <rPr>
        <rFont val="Trebuchet MS"/>
        <b/>
        <color theme="1"/>
        <sz val="10.0"/>
        <u/>
      </rPr>
      <t xml:space="preserve">
 IVA incluido
</t>
    </r>
    <r>
      <rPr>
        <rFont val="Trebuchet MS"/>
        <b val="0"/>
        <i/>
        <color theme="1"/>
        <sz val="8.0"/>
        <u/>
      </rPr>
      <t>(moneda nacional)</t>
    </r>
  </si>
  <si>
    <r>
      <rPr>
        <rFont val="Arial"/>
        <b/>
        <color theme="1"/>
        <sz val="10.0"/>
      </rPr>
      <t xml:space="preserve">Importe Total
</t>
    </r>
    <r>
      <rPr>
        <rFont val="Arial"/>
        <b val="0"/>
        <i/>
        <color theme="1"/>
        <sz val="8.0"/>
      </rPr>
      <t>(moneda extranjera)</t>
    </r>
  </si>
  <si>
    <r>
      <rPr>
        <rFont val="Trebuchet MS"/>
        <b/>
        <color theme="1"/>
        <sz val="10.0"/>
      </rPr>
      <t xml:space="preserve">Forma de Pago 
</t>
    </r>
    <r>
      <rPr>
        <rFont val="Trebuchet MS"/>
        <b val="0"/>
        <i/>
        <color theme="1"/>
        <sz val="8.0"/>
      </rPr>
      <t>(Contado o Cheque)</t>
    </r>
  </si>
  <si>
    <r>
      <rPr>
        <rFont val="Trebuchet MS"/>
        <b/>
        <color theme="1"/>
        <sz val="10.0"/>
      </rPr>
      <t xml:space="preserve">Observaciones </t>
    </r>
    <r>
      <rPr>
        <rFont val="Trebuchet MS"/>
        <b val="0"/>
        <i/>
        <color theme="1"/>
        <sz val="10.0"/>
      </rPr>
      <t xml:space="preserve">
</t>
    </r>
    <r>
      <rPr>
        <rFont val="Trebuchet MS"/>
        <b val="0"/>
        <i/>
        <color theme="1"/>
        <sz val="8.0"/>
      </rPr>
      <t>(se debe incluir toda aquella característica que no ha sido posible incluir anteriormente)</t>
    </r>
  </si>
  <si>
    <t>Tienda Saliz</t>
  </si>
  <si>
    <t>https://www.tiendasaliz.com/MCO-2153941166-memoria-ram-ddr4-16gb-3200mhz-pc-kingston-fury-_JM</t>
  </si>
  <si>
    <t xml:space="preserve">Memoria Ram Ddr4 16gb 3200mhz Pc Kingston Fury
</t>
  </si>
  <si>
    <t>Diseñada para ayudar a que su sistema se ejecute más rápido y fluidamente, la memoria Kingston Fury para computador de escritorio es uno de los modos más fáciles y rentables de mejorar el rendimiento de su sistema.</t>
  </si>
  <si>
    <t>Mips Colombia</t>
  </si>
  <si>
    <t>https://mipscolombia.com.co/product/ddr4-16gb-3200-kingston-2/</t>
  </si>
  <si>
    <t>Memoria DDR4 16GB 3200Mhz Kingston</t>
  </si>
  <si>
    <t>Ofrece un rendimiento potente y confiable para satisfacer las demandas de los usuarios exigentes</t>
  </si>
  <si>
    <t>Unilago</t>
  </si>
  <si>
    <t>https://unilago.com/producto/49853-DDR4-16GB?srsltid=AfmBOooEtXjKF0VkjcUYqzf7zXdPO7IBptOhYoO8y4gOp8Cxf_yVloCoIdw</t>
  </si>
  <si>
    <t>DDR4 16GB 3200MHZ ADATA XPG SPECTRIX D60G / AX4U320016G16A</t>
  </si>
  <si>
    <t>Cuenta con una amplia gama de frecuencias de 3000 a 4133 MHz y admite los perfiles Intel XMP 2.0 para facilitar el aumento de la velocidad del reloj. audio</t>
  </si>
  <si>
    <r>
      <rPr>
        <rFont val="Arial"/>
        <b/>
        <color theme="1"/>
        <sz val="10.0"/>
      </rPr>
      <t xml:space="preserve">(a) Se deben presentar tres (3) presupuestos cuando:   
   </t>
    </r>
    <r>
      <rPr>
        <rFont val="Arial"/>
        <b val="0"/>
        <color theme="1"/>
        <sz val="10.0"/>
      </rPr>
      <t>El valor del gasto supere el monto de pesos un mil ($ 1.000,00). 
     Se pueden presentar al menos tres (3)</t>
    </r>
    <r>
      <rPr>
        <rFont val="Arial"/>
        <b val="0"/>
        <color theme="1"/>
        <sz val="10.0"/>
      </rPr>
      <t xml:space="preserve"> solicitudes de cotización (del bien o servicio a contratar) cursadas</t>
    </r>
    <r>
      <rPr>
        <rFont val="Arial"/>
        <b val="0"/>
        <color theme="1"/>
        <sz val="10.0"/>
      </rPr>
      <t xml:space="preserve"> a tres o más empresas oferentes.
     L</t>
    </r>
    <r>
      <rPr>
        <rFont val="Arial"/>
        <b val="0"/>
        <color theme="1"/>
        <sz val="10.0"/>
      </rPr>
      <t xml:space="preserve">a selección del proveedor se hará con el criterio del más bajo precio.
     </t>
    </r>
    <r>
      <rPr>
        <rFont val="Arial"/>
        <b/>
        <color theme="1"/>
        <sz val="10.0"/>
      </rPr>
      <t>En caso de no contar con tres (3) presupuestos, o no poder seleccionar al proveedor que ofrece menor precio, presentar este cuadro una nota de justificación siguiendo las pautas del ítem    (XX)</t>
    </r>
    <r>
      <rPr>
        <rFont val="Arial"/>
        <b val="0"/>
        <color theme="1"/>
        <sz val="10.0"/>
      </rPr>
      <t xml:space="preserve">
</t>
    </r>
  </si>
  <si>
    <r>
      <rPr>
        <rFont val="Arial"/>
        <b/>
        <color theme="1"/>
        <sz val="10.0"/>
      </rPr>
      <t>(b) Ejemplos:</t>
    </r>
    <r>
      <rPr>
        <rFont val="Arial"/>
        <b val="0"/>
        <color theme="1"/>
        <sz val="10.0"/>
      </rPr>
      <t xml:space="preserve">
        En el caso de viajes, indicar Origen/Destino (si corresponde también escalas)
        Si se tratara de servicios tipo catering, indicar las cantidades de asistentes, así como los días en que se demanda la prestación del servicio.
        Si fuera papelería indicar, cantidades de afiches, trípticos, etc.</t>
    </r>
  </si>
  <si>
    <r>
      <rPr>
        <rFont val="Trebuchet MS"/>
        <b/>
        <color theme="1"/>
        <sz val="10.0"/>
      </rPr>
      <t>Empresa</t>
    </r>
    <r>
      <rPr>
        <rFont val="Trebuchet MS"/>
        <b val="0"/>
        <i/>
        <color theme="1"/>
        <sz val="8.0"/>
      </rPr>
      <t xml:space="preserve">
(Nombre fiscal de la empresa)</t>
    </r>
  </si>
  <si>
    <r>
      <rPr>
        <rFont val="Trebuchet MS"/>
        <b/>
        <color theme="1"/>
        <sz val="10.0"/>
      </rPr>
      <t>Nº de CUIT, Dirección, Teléfono</t>
    </r>
    <r>
      <rPr>
        <rFont val="Trebuchet MS"/>
        <b val="0"/>
        <i/>
        <color theme="1"/>
        <sz val="10.0"/>
      </rPr>
      <t xml:space="preserve">
</t>
    </r>
    <r>
      <rPr>
        <rFont val="Trebuchet MS"/>
        <b val="0"/>
        <i/>
        <color theme="1"/>
        <sz val="8.0"/>
      </rPr>
      <t>(Datos de la empresa)</t>
    </r>
  </si>
  <si>
    <r>
      <rPr>
        <rFont val="Trebuchet MS"/>
        <b/>
        <color theme="1"/>
        <sz val="10.0"/>
      </rPr>
      <t>Descripción del
bien/ servicio (b)</t>
    </r>
    <r>
      <rPr>
        <rFont val="Trebuchet MS"/>
        <b val="0"/>
        <i/>
        <color theme="1"/>
        <sz val="10.0"/>
      </rPr>
      <t xml:space="preserve">
</t>
    </r>
    <r>
      <rPr>
        <rFont val="Trebuchet MS"/>
        <b val="0"/>
        <i/>
        <color theme="1"/>
        <sz val="8.0"/>
      </rPr>
      <t>Características de los bienes/ servicios</t>
    </r>
  </si>
  <si>
    <r>
      <rPr>
        <rFont val="Trebuchet MS"/>
        <b/>
        <color theme="1"/>
        <sz val="10.0"/>
      </rPr>
      <t xml:space="preserve">Importe Unitario
</t>
    </r>
    <r>
      <rPr>
        <rFont val="Trebuchet MS"/>
        <b val="0"/>
        <i/>
        <color theme="1"/>
        <sz val="8.0"/>
      </rPr>
      <t>(moneda nacional)</t>
    </r>
  </si>
  <si>
    <r>
      <rPr>
        <rFont val="Trebuchet MS"/>
        <b/>
        <color theme="1"/>
        <sz val="10.0"/>
        <u/>
      </rPr>
      <t>Importe Total</t>
    </r>
    <r>
      <rPr>
        <rFont val="Trebuchet MS"/>
        <b/>
        <color theme="1"/>
        <sz val="10.0"/>
        <u/>
      </rPr>
      <t xml:space="preserve">
 IVA incluido
</t>
    </r>
    <r>
      <rPr>
        <rFont val="Trebuchet MS"/>
        <b val="0"/>
        <i/>
        <color theme="1"/>
        <sz val="8.0"/>
        <u/>
      </rPr>
      <t>(moneda nacional)</t>
    </r>
  </si>
  <si>
    <r>
      <rPr>
        <rFont val="Arial"/>
        <b/>
        <color theme="1"/>
        <sz val="10.0"/>
      </rPr>
      <t xml:space="preserve">Importe Total
</t>
    </r>
    <r>
      <rPr>
        <rFont val="Arial"/>
        <b val="0"/>
        <i/>
        <color theme="1"/>
        <sz val="8.0"/>
      </rPr>
      <t>(moneda extranjera)</t>
    </r>
  </si>
  <si>
    <r>
      <rPr>
        <rFont val="Trebuchet MS"/>
        <b/>
        <color theme="1"/>
        <sz val="10.0"/>
      </rPr>
      <t xml:space="preserve">Forma de Pago 
</t>
    </r>
    <r>
      <rPr>
        <rFont val="Trebuchet MS"/>
        <b val="0"/>
        <i/>
        <color theme="1"/>
        <sz val="8.0"/>
      </rPr>
      <t>(Contado o Cheque)</t>
    </r>
  </si>
  <si>
    <r>
      <rPr>
        <rFont val="Trebuchet MS"/>
        <b/>
        <color theme="1"/>
        <sz val="10.0"/>
      </rPr>
      <t xml:space="preserve">Observaciones </t>
    </r>
    <r>
      <rPr>
        <rFont val="Trebuchet MS"/>
        <b val="0"/>
        <i/>
        <color theme="1"/>
        <sz val="10.0"/>
      </rPr>
      <t xml:space="preserve">
</t>
    </r>
    <r>
      <rPr>
        <rFont val="Trebuchet MS"/>
        <b val="0"/>
        <i/>
        <color theme="1"/>
        <sz val="8.0"/>
      </rPr>
      <t>(se debe incluir toda aquella característica que no ha sido posible incluir anteriormente)</t>
    </r>
  </si>
  <si>
    <t>https://www.ktronix.com/teclado-logitech-k120-usb/p</t>
  </si>
  <si>
    <t>Teclado Logitech K120 Alámbrico USB – resistente a derrames</t>
  </si>
  <si>
    <t>Modelo confiable, silencioso y económico para oficina.</t>
  </si>
  <si>
    <t>Éxito</t>
  </si>
  <si>
    <t>https://www.exito.com/teclado-gamer-redragon-karura-k502/p</t>
  </si>
  <si>
    <t>Teclado Redragon Karura K502 RGB – retroiluminado, silencioso</t>
  </si>
  <si>
    <t>Ideal para puestos administrativos con uso intensivo.</t>
  </si>
  <si>
    <t>http://alkosto.com/combo-hp-alambrico-teclado-mouse-150-negro/p/195122875534?utm_source=chatgpt.com</t>
  </si>
  <si>
    <t>Combo HP Alámbrico Teclado + Mouse 150 Negro</t>
  </si>
  <si>
    <t>Teclado y Mouse Alámbrico HP 150. Conexión fácil, diseño delgado y ergonómico en el teclado, gran precisión con 1600DPI en el mouse, y las funciones de teclas necesarias para mantener tu productividad a tope, teclas con diseño chiclet más delgado, que producen menos ruido sin sacrificar la comodidad y confiabilidad</t>
  </si>
  <si>
    <t>Calle 12 # 34 - 30, Bogotá D.C.</t>
  </si>
  <si>
    <r>
      <rPr>
        <rFont val="Arial"/>
        <b/>
        <color theme="1"/>
        <sz val="10.0"/>
      </rPr>
      <t xml:space="preserve">(a) Se deben presentar tres (3) presupuestos cuando:   
   </t>
    </r>
    <r>
      <rPr>
        <rFont val="Arial"/>
        <b val="0"/>
        <color theme="1"/>
        <sz val="10.0"/>
      </rPr>
      <t>El valor del gasto supere el monto de pesos un mil ($ 1.000,00). 
     Se pueden presentar al menos tres (3)</t>
    </r>
    <r>
      <rPr>
        <rFont val="Arial"/>
        <b val="0"/>
        <color theme="1"/>
        <sz val="10.0"/>
      </rPr>
      <t xml:space="preserve"> solicitudes de cotización (del bien o servicio a contratar) cursadas</t>
    </r>
    <r>
      <rPr>
        <rFont val="Arial"/>
        <b val="0"/>
        <color theme="1"/>
        <sz val="10.0"/>
      </rPr>
      <t xml:space="preserve"> a tres o más empresas oferentes.
     L</t>
    </r>
    <r>
      <rPr>
        <rFont val="Arial"/>
        <b val="0"/>
        <color theme="1"/>
        <sz val="10.0"/>
      </rPr>
      <t xml:space="preserve">a selección del proveedor se hará con el criterio del más bajo precio.
     </t>
    </r>
    <r>
      <rPr>
        <rFont val="Arial"/>
        <b/>
        <color theme="1"/>
        <sz val="10.0"/>
      </rPr>
      <t>En caso de no contar con tres (3) presupuestos, o no poder seleccionar al proveedor que ofrece menor precio, presentar este cuadro una nota de justificación siguiendo las pautas del ítem    (XX)</t>
    </r>
    <r>
      <rPr>
        <rFont val="Arial"/>
        <b val="0"/>
        <color theme="1"/>
        <sz val="10.0"/>
      </rPr>
      <t xml:space="preserve">
</t>
    </r>
  </si>
  <si>
    <r>
      <rPr>
        <rFont val="Arial"/>
        <b/>
        <color theme="1"/>
        <sz val="10.0"/>
      </rPr>
      <t>(b) Ejemplos:</t>
    </r>
    <r>
      <rPr>
        <rFont val="Arial"/>
        <b val="0"/>
        <color theme="1"/>
        <sz val="10.0"/>
      </rPr>
      <t xml:space="preserve">
        En el caso de viajes, indicar Origen/Destino (si corresponde también escalas)
        Si se tratara de servicios tipo catering, indicar las cantidades de asistentes, así como los días en que se demanda la prestación del servicio.
        Si fuera papelería indicar, cantidades de afiches, trípticos, etc.</t>
    </r>
  </si>
  <si>
    <r>
      <rPr>
        <rFont val="Trebuchet MS"/>
        <b/>
        <color theme="1"/>
        <sz val="10.0"/>
      </rPr>
      <t>Empresa</t>
    </r>
    <r>
      <rPr>
        <rFont val="Trebuchet MS"/>
        <b val="0"/>
        <i/>
        <color theme="1"/>
        <sz val="8.0"/>
      </rPr>
      <t xml:space="preserve">
(Nombre fiscal de la empresa)</t>
    </r>
  </si>
  <si>
    <r>
      <rPr>
        <rFont val="Trebuchet MS"/>
        <b/>
        <color theme="1"/>
        <sz val="10.0"/>
      </rPr>
      <t>Nº de CUIT, Dirección, Teléfono</t>
    </r>
    <r>
      <rPr>
        <rFont val="Trebuchet MS"/>
        <b val="0"/>
        <i/>
        <color theme="1"/>
        <sz val="10.0"/>
      </rPr>
      <t xml:space="preserve">
</t>
    </r>
    <r>
      <rPr>
        <rFont val="Trebuchet MS"/>
        <b val="0"/>
        <i/>
        <color theme="1"/>
        <sz val="8.0"/>
      </rPr>
      <t>(Datos de la empresa)</t>
    </r>
  </si>
  <si>
    <r>
      <rPr>
        <rFont val="Trebuchet MS"/>
        <b/>
        <color theme="1"/>
        <sz val="10.0"/>
      </rPr>
      <t>Descripción del
bien/ servicio (b)</t>
    </r>
    <r>
      <rPr>
        <rFont val="Trebuchet MS"/>
        <b val="0"/>
        <i/>
        <color theme="1"/>
        <sz val="10.0"/>
      </rPr>
      <t xml:space="preserve">
</t>
    </r>
    <r>
      <rPr>
        <rFont val="Trebuchet MS"/>
        <b val="0"/>
        <i/>
        <color theme="1"/>
        <sz val="8.0"/>
      </rPr>
      <t>Características de los bienes/ servicios</t>
    </r>
  </si>
  <si>
    <r>
      <rPr>
        <rFont val="Trebuchet MS"/>
        <b/>
        <color theme="1"/>
        <sz val="10.0"/>
      </rPr>
      <t xml:space="preserve">Importe Unitario
</t>
    </r>
    <r>
      <rPr>
        <rFont val="Trebuchet MS"/>
        <b val="0"/>
        <i/>
        <color theme="1"/>
        <sz val="8.0"/>
      </rPr>
      <t>(moneda nacional)</t>
    </r>
  </si>
  <si>
    <r>
      <rPr>
        <rFont val="Trebuchet MS"/>
        <b/>
        <color theme="1"/>
        <sz val="10.0"/>
        <u/>
      </rPr>
      <t>Importe Total</t>
    </r>
    <r>
      <rPr>
        <rFont val="Trebuchet MS"/>
        <b/>
        <color theme="1"/>
        <sz val="10.0"/>
        <u/>
      </rPr>
      <t xml:space="preserve">
 IVA incluido
</t>
    </r>
    <r>
      <rPr>
        <rFont val="Trebuchet MS"/>
        <b val="0"/>
        <i/>
        <color theme="1"/>
        <sz val="8.0"/>
        <u/>
      </rPr>
      <t>(moneda nacional)</t>
    </r>
  </si>
  <si>
    <r>
      <rPr>
        <rFont val="Arial"/>
        <b/>
        <color theme="1"/>
        <sz val="10.0"/>
      </rPr>
      <t xml:space="preserve">Importe Total
</t>
    </r>
    <r>
      <rPr>
        <rFont val="Arial"/>
        <b/>
        <i/>
        <color theme="1"/>
        <sz val="8.0"/>
      </rPr>
      <t>(moneda extranjera)</t>
    </r>
  </si>
  <si>
    <r>
      <rPr>
        <rFont val="Trebuchet MS"/>
        <b/>
        <color theme="1"/>
        <sz val="10.0"/>
      </rPr>
      <t xml:space="preserve">Forma de Pago 
</t>
    </r>
    <r>
      <rPr>
        <rFont val="Trebuchet MS"/>
        <b val="0"/>
        <i/>
        <color theme="1"/>
        <sz val="8.0"/>
      </rPr>
      <t>(Contado o Cheque)</t>
    </r>
  </si>
  <si>
    <r>
      <rPr>
        <rFont val="Trebuchet MS"/>
        <b/>
        <color theme="1"/>
        <sz val="10.0"/>
      </rPr>
      <t xml:space="preserve">Observaciones </t>
    </r>
    <r>
      <rPr>
        <rFont val="Trebuchet MS"/>
        <b val="0"/>
        <i/>
        <color theme="1"/>
        <sz val="10.0"/>
      </rPr>
      <t xml:space="preserve">
</t>
    </r>
    <r>
      <rPr>
        <rFont val="Trebuchet MS"/>
        <b val="0"/>
        <i/>
        <color theme="1"/>
        <sz val="8.0"/>
      </rPr>
      <t>(se debe incluir toda aquella característica que no ha sido posible incluir anteriormente)</t>
    </r>
  </si>
  <si>
    <t xml:space="preserve">Alkosto </t>
  </si>
  <si>
    <t>https://www.alkosto.com/mouse-logitech-b100-usb/p</t>
  </si>
  <si>
    <t>Mouse Logitech B100 Alámbrico USB – diseño ergonómico básico</t>
  </si>
  <si>
    <t>https://www.panamericana.com.co/mouse-hp-150-usb/p</t>
  </si>
  <si>
    <t>Mouse HP 150 Alámbrico USB – 1200 DPI, diseño simétrico</t>
  </si>
  <si>
    <r>
      <rPr>
        <rFont val="Arial"/>
        <b/>
        <color theme="1"/>
        <sz val="10.0"/>
      </rPr>
      <t xml:space="preserve">(a) Se deben presentar tres (3) presupuestos cuando:   
   </t>
    </r>
    <r>
      <rPr>
        <rFont val="Arial"/>
        <b val="0"/>
        <color theme="1"/>
        <sz val="10.0"/>
      </rPr>
      <t>El valor del gasto supere el monto de pesos un mil ($ 1.000,00). 
     Se pueden presentar al menos tres (3)</t>
    </r>
    <r>
      <rPr>
        <rFont val="Arial"/>
        <b val="0"/>
        <color theme="1"/>
        <sz val="10.0"/>
      </rPr>
      <t xml:space="preserve"> solicitudes de cotización (del bien o servicio a contratar) cursadas</t>
    </r>
    <r>
      <rPr>
        <rFont val="Arial"/>
        <b val="0"/>
        <color theme="1"/>
        <sz val="10.0"/>
      </rPr>
      <t xml:space="preserve"> a tres o más empresas oferentes.
     L</t>
    </r>
    <r>
      <rPr>
        <rFont val="Arial"/>
        <b val="0"/>
        <color theme="1"/>
        <sz val="10.0"/>
      </rPr>
      <t xml:space="preserve">a selección del proveedor se hará con el criterio del más bajo precio.
     </t>
    </r>
    <r>
      <rPr>
        <rFont val="Arial"/>
        <b/>
        <color theme="1"/>
        <sz val="10.0"/>
      </rPr>
      <t>En caso de no contar con tres (3) presupuestos, o no poder seleccionar al proveedor que ofrece menor precio, presentar este cuadro una nota de justificación siguiendo las pautas del ítem    (XX)</t>
    </r>
    <r>
      <rPr>
        <rFont val="Arial"/>
        <b val="0"/>
        <color theme="1"/>
        <sz val="10.0"/>
      </rPr>
      <t xml:space="preserve">
</t>
    </r>
  </si>
  <si>
    <r>
      <rPr>
        <rFont val="Arial"/>
        <b/>
        <color theme="1"/>
        <sz val="10.0"/>
      </rPr>
      <t>(b) Ejemplos:</t>
    </r>
    <r>
      <rPr>
        <rFont val="Arial"/>
        <b val="0"/>
        <color theme="1"/>
        <sz val="10.0"/>
      </rPr>
      <t xml:space="preserve">
        En el caso de viajes, indicar Origen/Destino (si corresponde también escalas)
        Si se tratara de servicios tipo catering, indicar las cantidades de asistentes, así como los días en que se demanda la prestación del servicio.
        Si fuera papelería indicar, cantidades de afiches, trípticos, etc.</t>
    </r>
  </si>
  <si>
    <r>
      <rPr>
        <rFont val="Trebuchet MS"/>
        <b/>
        <color theme="1"/>
        <sz val="10.0"/>
      </rPr>
      <t>Empresa</t>
    </r>
    <r>
      <rPr>
        <rFont val="Trebuchet MS"/>
        <b val="0"/>
        <i/>
        <color theme="1"/>
        <sz val="8.0"/>
      </rPr>
      <t xml:space="preserve">
(Nombre fiscal de la empresa)</t>
    </r>
  </si>
  <si>
    <r>
      <rPr>
        <rFont val="Trebuchet MS"/>
        <b/>
        <color theme="1"/>
        <sz val="10.0"/>
      </rPr>
      <t>Nº de CUIT, Dirección, Teléfono</t>
    </r>
    <r>
      <rPr>
        <rFont val="Trebuchet MS"/>
        <b val="0"/>
        <i/>
        <color theme="1"/>
        <sz val="10.0"/>
      </rPr>
      <t xml:space="preserve">
</t>
    </r>
    <r>
      <rPr>
        <rFont val="Trebuchet MS"/>
        <b val="0"/>
        <i/>
        <color theme="1"/>
        <sz val="8.0"/>
      </rPr>
      <t>(Datos de la empresa)</t>
    </r>
  </si>
  <si>
    <r>
      <rPr>
        <rFont val="Trebuchet MS"/>
        <b/>
        <color theme="1"/>
        <sz val="10.0"/>
      </rPr>
      <t>Descripción del
bien/ servicio (b)</t>
    </r>
    <r>
      <rPr>
        <rFont val="Trebuchet MS"/>
        <b val="0"/>
        <i/>
        <color theme="1"/>
        <sz val="10.0"/>
      </rPr>
      <t xml:space="preserve">
</t>
    </r>
    <r>
      <rPr>
        <rFont val="Trebuchet MS"/>
        <b val="0"/>
        <i/>
        <color theme="1"/>
        <sz val="8.0"/>
      </rPr>
      <t>Características de los bienes/ servicios</t>
    </r>
  </si>
  <si>
    <r>
      <rPr>
        <rFont val="Trebuchet MS"/>
        <b/>
        <color theme="1"/>
        <sz val="10.0"/>
      </rPr>
      <t xml:space="preserve">Importe Unitario
</t>
    </r>
    <r>
      <rPr>
        <rFont val="Trebuchet MS"/>
        <b val="0"/>
        <i/>
        <color theme="1"/>
        <sz val="8.0"/>
      </rPr>
      <t>(moneda nacional)</t>
    </r>
  </si>
  <si>
    <r>
      <rPr>
        <rFont val="Trebuchet MS"/>
        <b/>
        <color theme="1"/>
        <sz val="10.0"/>
        <u/>
      </rPr>
      <t>Importe Total</t>
    </r>
    <r>
      <rPr>
        <rFont val="Trebuchet MS"/>
        <b/>
        <color theme="1"/>
        <sz val="10.0"/>
        <u/>
      </rPr>
      <t xml:space="preserve">
 IVA incluido
</t>
    </r>
    <r>
      <rPr>
        <rFont val="Trebuchet MS"/>
        <b val="0"/>
        <i/>
        <color theme="1"/>
        <sz val="8.0"/>
        <u/>
      </rPr>
      <t>(moneda nacional)</t>
    </r>
  </si>
  <si>
    <r>
      <rPr>
        <rFont val="Arial"/>
        <b/>
        <color theme="1"/>
        <sz val="10.0"/>
      </rPr>
      <t xml:space="preserve">Importe Total
</t>
    </r>
    <r>
      <rPr>
        <rFont val="Arial"/>
        <b val="0"/>
        <i/>
        <color theme="1"/>
        <sz val="8.0"/>
      </rPr>
      <t>(moneda extranjera)</t>
    </r>
  </si>
  <si>
    <r>
      <rPr>
        <rFont val="Trebuchet MS"/>
        <b/>
        <color theme="1"/>
        <sz val="10.0"/>
      </rPr>
      <t xml:space="preserve">Forma de Pago 
</t>
    </r>
    <r>
      <rPr>
        <rFont val="Trebuchet MS"/>
        <b val="0"/>
        <i/>
        <color theme="1"/>
        <sz val="8.0"/>
      </rPr>
      <t>(Contado o Cheque)</t>
    </r>
  </si>
  <si>
    <r>
      <rPr>
        <rFont val="Trebuchet MS"/>
        <b/>
        <color theme="1"/>
        <sz val="10.0"/>
      </rPr>
      <t xml:space="preserve">Observaciones </t>
    </r>
    <r>
      <rPr>
        <rFont val="Trebuchet MS"/>
        <b val="0"/>
        <i/>
        <color theme="1"/>
        <sz val="10.0"/>
      </rPr>
      <t xml:space="preserve">
</t>
    </r>
    <r>
      <rPr>
        <rFont val="Trebuchet MS"/>
        <b val="0"/>
        <i/>
        <color theme="1"/>
        <sz val="8.0"/>
      </rPr>
      <t>(se debe incluir toda aquella característica que no ha sido posible incluir anteriormente)</t>
    </r>
  </si>
  <si>
    <t xml:space="preserve">Éxito </t>
  </si>
  <si>
    <t>https://www.exito.com/portatil-hp-15-fc0002la-ryzen3/p</t>
  </si>
  <si>
    <t>Portátil HP 15-fc0002la – Ryzen 3, 8GB RAM, 512GB SSD, 15.6" FHD</t>
  </si>
  <si>
    <t>Buen rendimiento general, ideal para tareas administrativas.</t>
  </si>
  <si>
    <t>https://www.alkosto.com/portatil-lenovo-ideapad-3-ryzen5/p</t>
  </si>
  <si>
    <t>Portátil Lenovo IdeaPad 3 – Ryzen 5, 12GB RAM, 512GB SSD</t>
  </si>
  <si>
    <t>Excelente relación calidad/precio, rápido y eficiente.</t>
  </si>
  <si>
    <t xml:space="preserve">Panamericana </t>
  </si>
  <si>
    <t>https://www.panamericana.com.co/portatil-asus-vivobook-i5/p</t>
  </si>
  <si>
    <t>Portátil ASUS VivoBook 15 – Intel i5, 8GB RAM, 512GB SSD</t>
  </si>
  <si>
    <t>Elegante, liviano y potente para trabajo continuo.</t>
  </si>
  <si>
    <r>
      <rPr>
        <rFont val="Arial"/>
        <b/>
        <color theme="1"/>
        <sz val="10.0"/>
      </rPr>
      <t xml:space="preserve">(a) Se deben presentar tres (3) presupuestos cuando:   
   </t>
    </r>
    <r>
      <rPr>
        <rFont val="Arial"/>
        <b val="0"/>
        <color theme="1"/>
        <sz val="10.0"/>
      </rPr>
      <t>El valor del gasto supere el monto de pesos un mil ($ 1.000,00). 
     Se pueden presentar al menos tres (3)</t>
    </r>
    <r>
      <rPr>
        <rFont val="Arial"/>
        <b val="0"/>
        <color theme="1"/>
        <sz val="10.0"/>
      </rPr>
      <t xml:space="preserve"> solicitudes de cotización (del bien o servicio a contratar) cursadas</t>
    </r>
    <r>
      <rPr>
        <rFont val="Arial"/>
        <b val="0"/>
        <color theme="1"/>
        <sz val="10.0"/>
      </rPr>
      <t xml:space="preserve"> a tres o más empresas oferentes.
     L</t>
    </r>
    <r>
      <rPr>
        <rFont val="Arial"/>
        <b val="0"/>
        <color theme="1"/>
        <sz val="10.0"/>
      </rPr>
      <t xml:space="preserve">a selección del proveedor se hará con el criterio del más bajo precio.
     </t>
    </r>
    <r>
      <rPr>
        <rFont val="Arial"/>
        <b/>
        <color theme="1"/>
        <sz val="10.0"/>
      </rPr>
      <t>En caso de no contar con tres (3) presupuestos, o no poder seleccionar al proveedor que ofrece menor precio, presentar este cuadro una nota de justificación siguiendo las pautas del ítem    (XX)</t>
    </r>
    <r>
      <rPr>
        <rFont val="Arial"/>
        <b val="0"/>
        <color theme="1"/>
        <sz val="10.0"/>
      </rPr>
      <t xml:space="preserve">
</t>
    </r>
  </si>
  <si>
    <r>
      <rPr>
        <rFont val="Arial"/>
        <b/>
        <color theme="1"/>
        <sz val="10.0"/>
      </rPr>
      <t>(b) Ejemplos:</t>
    </r>
    <r>
      <rPr>
        <rFont val="Arial"/>
        <b val="0"/>
        <color theme="1"/>
        <sz val="10.0"/>
      </rPr>
      <t xml:space="preserve">
        En el caso de viajes, indicar Origen/Destino (si corresponde también escalas)
        Si se tratara de servicios tipo catering, indicar las cantidades de asistentes, así como los días en que se demanda la prestación del servicio.
        Si fuera papelería indicar, cantidades de afiches, trípticos, etc.</t>
    </r>
  </si>
  <si>
    <r>
      <rPr>
        <rFont val="Trebuchet MS"/>
        <b/>
        <color theme="1"/>
        <sz val="10.0"/>
      </rPr>
      <t>Empresa</t>
    </r>
    <r>
      <rPr>
        <rFont val="Trebuchet MS"/>
        <b val="0"/>
        <i/>
        <color theme="1"/>
        <sz val="8.0"/>
      </rPr>
      <t xml:space="preserve">
(Nombre fiscal de la empresa)</t>
    </r>
  </si>
  <si>
    <r>
      <rPr>
        <rFont val="Trebuchet MS"/>
        <b/>
        <color theme="1"/>
        <sz val="10.0"/>
      </rPr>
      <t>Nº de CUIT, Dirección, Teléfono</t>
    </r>
    <r>
      <rPr>
        <rFont val="Trebuchet MS"/>
        <b val="0"/>
        <i/>
        <color theme="1"/>
        <sz val="10.0"/>
      </rPr>
      <t xml:space="preserve">
</t>
    </r>
    <r>
      <rPr>
        <rFont val="Trebuchet MS"/>
        <b val="0"/>
        <i/>
        <color theme="1"/>
        <sz val="8.0"/>
      </rPr>
      <t>(Datos de la empresa)</t>
    </r>
  </si>
  <si>
    <r>
      <rPr>
        <rFont val="Trebuchet MS"/>
        <b/>
        <color theme="1"/>
        <sz val="10.0"/>
      </rPr>
      <t>Descripción del
bien/ servicio (b)</t>
    </r>
    <r>
      <rPr>
        <rFont val="Trebuchet MS"/>
        <b val="0"/>
        <i/>
        <color theme="1"/>
        <sz val="10.0"/>
      </rPr>
      <t xml:space="preserve">
</t>
    </r>
    <r>
      <rPr>
        <rFont val="Trebuchet MS"/>
        <b val="0"/>
        <i/>
        <color theme="1"/>
        <sz val="8.0"/>
      </rPr>
      <t>Características de los bienes/ servicios</t>
    </r>
  </si>
  <si>
    <r>
      <rPr>
        <rFont val="Trebuchet MS"/>
        <b/>
        <color theme="1"/>
        <sz val="10.0"/>
      </rPr>
      <t xml:space="preserve">Importe Unitario
</t>
    </r>
    <r>
      <rPr>
        <rFont val="Trebuchet MS"/>
        <b val="0"/>
        <i/>
        <color theme="1"/>
        <sz val="8.0"/>
      </rPr>
      <t>(moneda nacional)</t>
    </r>
  </si>
  <si>
    <r>
      <rPr>
        <rFont val="Trebuchet MS"/>
        <b/>
        <color theme="1"/>
        <sz val="10.0"/>
        <u/>
      </rPr>
      <t>Importe Total</t>
    </r>
    <r>
      <rPr>
        <rFont val="Trebuchet MS"/>
        <b/>
        <color theme="1"/>
        <sz val="10.0"/>
        <u/>
      </rPr>
      <t xml:space="preserve">
 IVA incluido
</t>
    </r>
    <r>
      <rPr>
        <rFont val="Trebuchet MS"/>
        <b val="0"/>
        <i/>
        <color theme="1"/>
        <sz val="8.0"/>
        <u/>
      </rPr>
      <t>(moneda nacional)</t>
    </r>
  </si>
  <si>
    <r>
      <rPr>
        <rFont val="Arial"/>
        <b/>
        <color theme="1"/>
        <sz val="10.0"/>
      </rPr>
      <t xml:space="preserve">Importe Total
</t>
    </r>
    <r>
      <rPr>
        <rFont val="Arial"/>
        <b val="0"/>
        <i/>
        <color theme="1"/>
        <sz val="8.0"/>
      </rPr>
      <t>(moneda extranjera)</t>
    </r>
  </si>
  <si>
    <r>
      <rPr>
        <rFont val="Trebuchet MS"/>
        <b/>
        <color theme="1"/>
        <sz val="10.0"/>
      </rPr>
      <t xml:space="preserve">Forma de Pago 
</t>
    </r>
    <r>
      <rPr>
        <rFont val="Trebuchet MS"/>
        <b val="0"/>
        <i/>
        <color theme="1"/>
        <sz val="8.0"/>
      </rPr>
      <t>(Contado o Cheque)</t>
    </r>
  </si>
  <si>
    <r>
      <rPr>
        <rFont val="Trebuchet MS"/>
        <b/>
        <color theme="1"/>
        <sz val="10.0"/>
      </rPr>
      <t xml:space="preserve">Observaciones </t>
    </r>
    <r>
      <rPr>
        <rFont val="Trebuchet MS"/>
        <b val="0"/>
        <i/>
        <color theme="1"/>
        <sz val="10.0"/>
      </rPr>
      <t xml:space="preserve">
</t>
    </r>
    <r>
      <rPr>
        <rFont val="Trebuchet MS"/>
        <b val="0"/>
        <i/>
        <color theme="1"/>
        <sz val="8.0"/>
      </rPr>
      <t>(se debe incluir toda aquella característica que no ha sido posible incluir anteriormente)</t>
    </r>
  </si>
  <si>
    <t xml:space="preserve">ALKOSTO </t>
  </si>
  <si>
    <t>https://www.alkosto.com/monitor-lg-22-pulgadas-22mr410-fhd-plano-negro/p/8806084644749</t>
  </si>
  <si>
    <t xml:space="preserve">Monitor LG 22" Pulgadas 22MR410 FHD Plano Negro
</t>
  </si>
  <si>
    <t>Colores vibrantes, imágenes nítidas y fluidez en una pantalla de 22" Disfruta de acción sin interrupciones con 100Hz y juegos fluidos con tecnología AMD FreeSync</t>
  </si>
  <si>
    <t xml:space="preserve">FALABELLA </t>
  </si>
  <si>
    <t>https://www.falabella.com.co/falabella-co/product/143998999/Monitor-Samsung-LS22D310-22-Plano-FHD-Negro-75Hz/143999000</t>
  </si>
  <si>
    <t>Monitor Samsung LS22D310 22 Plano FHD Negro 75Hz</t>
  </si>
  <si>
    <t xml:space="preserve">Experimenta imágenes claras y precisas con un ángulo de visión distintivo de 178° de ancho, que ofrece un brillo uniforme para documentos y gráficos desde múltiples ángulos.
</t>
  </si>
  <si>
    <t>https://www.mercadolibre.com.co/monitor-aoc-22b2hm2-22-pulgadas-full-hd-va-100hz-adapti-sync-color-negro/p/MCO45724339#polycard_client=search-nordic&amp;search_layout=stack&amp;position=4&amp;type=product&amp;tracking_id=5e9d59a9-255a-4efd-88b0-810d5547d109&amp;wid=MCO2888623430&amp;sid=search</t>
  </si>
  <si>
    <t xml:space="preserve">Monitor AOC 22b2hm2 22 Pulgadas Full Hd Va 100hz Adapti Sync Color Negro
</t>
  </si>
  <si>
    <t xml:space="preserve">Resolución Full HD de 1920 x 1080 píxeles, ideal para imágenes nítidas y detalladas.
</t>
  </si>
  <si>
    <r>
      <rPr>
        <rFont val="Arial"/>
        <b/>
        <color theme="1"/>
        <sz val="10.0"/>
      </rPr>
      <t xml:space="preserve">(a) Se deben presentar tres (3) presupuestos cuando:   
   </t>
    </r>
    <r>
      <rPr>
        <rFont val="Arial"/>
        <b val="0"/>
        <color theme="1"/>
        <sz val="10.0"/>
      </rPr>
      <t>El valor del gasto supere el monto de pesos un mil ($ 1.000,00). 
     Se pueden presentar al menos tres (3)</t>
    </r>
    <r>
      <rPr>
        <rFont val="Arial"/>
        <b val="0"/>
        <color theme="1"/>
        <sz val="10.0"/>
      </rPr>
      <t xml:space="preserve"> solicitudes de cotización (del bien o servicio a contratar) cursadas</t>
    </r>
    <r>
      <rPr>
        <rFont val="Arial"/>
        <b val="0"/>
        <color theme="1"/>
        <sz val="10.0"/>
      </rPr>
      <t xml:space="preserve"> a tres o más empresas oferentes.
     L</t>
    </r>
    <r>
      <rPr>
        <rFont val="Arial"/>
        <b val="0"/>
        <color theme="1"/>
        <sz val="10.0"/>
      </rPr>
      <t xml:space="preserve">a selección del proveedor se hará con el criterio del más bajo precio.
     </t>
    </r>
    <r>
      <rPr>
        <rFont val="Arial"/>
        <b/>
        <color theme="1"/>
        <sz val="10.0"/>
      </rPr>
      <t>En caso de no contar con tres (3) presupuestos, o no poder seleccionar al proveedor que ofrece menor precio, presentar este cuadro una nota de justificación siguiendo las pautas del ítem    (XX)</t>
    </r>
    <r>
      <rPr>
        <rFont val="Arial"/>
        <b val="0"/>
        <color theme="1"/>
        <sz val="10.0"/>
      </rPr>
      <t xml:space="preserve">
</t>
    </r>
  </si>
  <si>
    <r>
      <rPr>
        <rFont val="Arial"/>
        <b/>
        <color theme="1"/>
        <sz val="10.0"/>
      </rPr>
      <t>(b) Ejemplos:</t>
    </r>
    <r>
      <rPr>
        <rFont val="Arial"/>
        <b val="0"/>
        <color theme="1"/>
        <sz val="10.0"/>
      </rPr>
      <t xml:space="preserve">
        En el caso de viajes, indicar Origen/Destino (si corresponde también escalas)
        Si se tratara de servicios tipo catering, indicar las cantidades de asistentes, así como los días en que se demanda la prestación del servicio.
        Si fuera papelería indicar, cantidades de afiches, trípticos, etc.</t>
    </r>
  </si>
  <si>
    <t xml:space="preserve">M </t>
  </si>
  <si>
    <r>
      <rPr>
        <rFont val="Trebuchet MS"/>
        <b/>
        <color theme="1"/>
        <sz val="10.0"/>
      </rPr>
      <t>Empresa</t>
    </r>
    <r>
      <rPr>
        <rFont val="Trebuchet MS"/>
        <b val="0"/>
        <i/>
        <color theme="1"/>
        <sz val="8.0"/>
      </rPr>
      <t xml:space="preserve">
(Nombre fiscal de la empresa)</t>
    </r>
  </si>
  <si>
    <r>
      <rPr>
        <rFont val="Trebuchet MS"/>
        <b/>
        <color theme="1"/>
        <sz val="10.0"/>
      </rPr>
      <t>Nº de CUIT, Dirección, Teléfono</t>
    </r>
    <r>
      <rPr>
        <rFont val="Trebuchet MS"/>
        <b val="0"/>
        <i/>
        <color theme="1"/>
        <sz val="10.0"/>
      </rPr>
      <t xml:space="preserve">
</t>
    </r>
    <r>
      <rPr>
        <rFont val="Trebuchet MS"/>
        <b val="0"/>
        <i/>
        <color theme="1"/>
        <sz val="8.0"/>
      </rPr>
      <t>(Datos de la empresa)</t>
    </r>
  </si>
  <si>
    <r>
      <rPr>
        <rFont val="Trebuchet MS"/>
        <b/>
        <color theme="1"/>
        <sz val="10.0"/>
      </rPr>
      <t>Descripción del
bien/ servicio (b)</t>
    </r>
    <r>
      <rPr>
        <rFont val="Trebuchet MS"/>
        <b val="0"/>
        <i/>
        <color theme="1"/>
        <sz val="10.0"/>
      </rPr>
      <t xml:space="preserve">
</t>
    </r>
    <r>
      <rPr>
        <rFont val="Trebuchet MS"/>
        <b val="0"/>
        <i/>
        <color theme="1"/>
        <sz val="8.0"/>
      </rPr>
      <t>Características de los bienes/ servicios</t>
    </r>
  </si>
  <si>
    <r>
      <rPr>
        <rFont val="Trebuchet MS"/>
        <b/>
        <color theme="1"/>
        <sz val="10.0"/>
      </rPr>
      <t xml:space="preserve">Importe Unitario
</t>
    </r>
    <r>
      <rPr>
        <rFont val="Trebuchet MS"/>
        <b val="0"/>
        <i/>
        <color theme="1"/>
        <sz val="8.0"/>
      </rPr>
      <t>(moneda nacional)</t>
    </r>
  </si>
  <si>
    <r>
      <rPr>
        <rFont val="Trebuchet MS"/>
        <b/>
        <color theme="1"/>
        <sz val="10.0"/>
        <u/>
      </rPr>
      <t>Importe Total</t>
    </r>
    <r>
      <rPr>
        <rFont val="Trebuchet MS"/>
        <b/>
        <color theme="1"/>
        <sz val="10.0"/>
        <u/>
      </rPr>
      <t xml:space="preserve">
 IVA incluido
</t>
    </r>
    <r>
      <rPr>
        <rFont val="Trebuchet MS"/>
        <b val="0"/>
        <i/>
        <color theme="1"/>
        <sz val="8.0"/>
        <u/>
      </rPr>
      <t>(moneda nacional)</t>
    </r>
  </si>
  <si>
    <r>
      <rPr>
        <rFont val="Arial"/>
        <b/>
        <color theme="1"/>
        <sz val="10.0"/>
      </rPr>
      <t xml:space="preserve">Importe Total
</t>
    </r>
    <r>
      <rPr>
        <rFont val="Arial"/>
        <b val="0"/>
        <i/>
        <color theme="1"/>
        <sz val="8.0"/>
      </rPr>
      <t>(moneda extranjera)</t>
    </r>
  </si>
  <si>
    <r>
      <rPr>
        <rFont val="Trebuchet MS"/>
        <b/>
        <color theme="1"/>
        <sz val="10.0"/>
      </rPr>
      <t xml:space="preserve">Forma de Pago 
</t>
    </r>
    <r>
      <rPr>
        <rFont val="Trebuchet MS"/>
        <b val="0"/>
        <i/>
        <color theme="1"/>
        <sz val="8.0"/>
      </rPr>
      <t>(Contado o Cheque)</t>
    </r>
  </si>
  <si>
    <r>
      <rPr>
        <rFont val="Trebuchet MS"/>
        <b/>
        <color theme="1"/>
        <sz val="10.0"/>
      </rPr>
      <t xml:space="preserve">Observaciones </t>
    </r>
    <r>
      <rPr>
        <rFont val="Trebuchet MS"/>
        <b val="0"/>
        <i/>
        <color theme="1"/>
        <sz val="10.0"/>
      </rPr>
      <t xml:space="preserve">
</t>
    </r>
    <r>
      <rPr>
        <rFont val="Trebuchet MS"/>
        <b val="0"/>
        <i/>
        <color theme="1"/>
        <sz val="8.0"/>
      </rPr>
      <t>(se debe incluir toda aquella característica que no ha sido posible incluir anteriormente)</t>
    </r>
  </si>
  <si>
    <t xml:space="preserve">SPEED LOGIC </t>
  </si>
  <si>
    <t>https://speedlogic.com.co/tienda/unidades-ssd/m-2-nvme/unidad-de-estado-solido-ssd-m2-nvme-512gb-patriot-p320-3000-x-2200/</t>
  </si>
  <si>
    <t xml:space="preserve">Unidad De Estado Solido Ssd (M2) Nvme 512gb Patriot P320 3000 X 2200
</t>
  </si>
  <si>
    <t>Es una solución de almacenamiento de alto rendimiento diseñada para mejorar la velocidad y la capacidad de respuesta de su computadora.</t>
  </si>
  <si>
    <t>CLONES Y PERIFERICOS</t>
  </si>
  <si>
    <t>https://clonesyperifericos.com/comprar/ssd-adata-ultimate-su650-512gb-2-5/</t>
  </si>
  <si>
    <t xml:space="preserve">Ssd Adata Ultimate SU650 512GB 2.5
</t>
  </si>
  <si>
    <t xml:space="preserve">Implementa Flash NAND 3D y un controlador de alta velocidad, ofreciendo capacidades de hasta 960 GB. </t>
  </si>
  <si>
    <t>https://www.mercadolibre.com.co/ssd-adata-legend-700-512gb-m2-2280-pcie-gen3-20001600-mbs/p/MCO20489263#polycard_client=search-nordic&amp;search_layout=stack&amp;position=3&amp;type=product&amp;tracking_id=777d7f0d-b3c0-4d9f-a49c-4400dec63f6d&amp;wid=MCO1573643537&amp;sid=search</t>
  </si>
  <si>
    <t>Ssd Adata Legend 700 512gb M.2 2280 Pcie Gen3 2000/1600 Mb/s</t>
  </si>
  <si>
    <t xml:space="preserve">Más velocidad a tu alcance
Este disco transfiere datos a través de una interfaz PCIe Gen3 x4, lo que te brindará trasmitir una mayor cantidad de información de una sola vez.
</t>
  </si>
  <si>
    <r>
      <rPr>
        <rFont val="Arial"/>
        <b/>
        <color theme="1"/>
        <sz val="10.0"/>
      </rPr>
      <t xml:space="preserve">(a) Se deben presentar tres (3) presupuestos cuando:   
   </t>
    </r>
    <r>
      <rPr>
        <rFont val="Arial"/>
        <b val="0"/>
        <color theme="1"/>
        <sz val="10.0"/>
      </rPr>
      <t>El valor del gasto supere el monto de pesos un mil ($ 1.000,00). 
     Se pueden presentar al menos tres (3)</t>
    </r>
    <r>
      <rPr>
        <rFont val="Arial"/>
        <b val="0"/>
        <color theme="1"/>
        <sz val="10.0"/>
      </rPr>
      <t xml:space="preserve"> solicitudes de cotización (del bien o servicio a contratar) cursadas</t>
    </r>
    <r>
      <rPr>
        <rFont val="Arial"/>
        <b val="0"/>
        <color theme="1"/>
        <sz val="10.0"/>
      </rPr>
      <t xml:space="preserve"> a tres o más empresas oferentes.
     L</t>
    </r>
    <r>
      <rPr>
        <rFont val="Arial"/>
        <b val="0"/>
        <color theme="1"/>
        <sz val="10.0"/>
      </rPr>
      <t xml:space="preserve">a selección del proveedor se hará con el criterio del más bajo precio.
     </t>
    </r>
    <r>
      <rPr>
        <rFont val="Arial"/>
        <b/>
        <color theme="1"/>
        <sz val="10.0"/>
      </rPr>
      <t>En caso de no contar con tres (3) presupuestos, o no poder seleccionar al proveedor que ofrece menor precio, presentar este cuadro una nota de justificación siguiendo las pautas del ítem    (XX)</t>
    </r>
    <r>
      <rPr>
        <rFont val="Arial"/>
        <b val="0"/>
        <color theme="1"/>
        <sz val="10.0"/>
      </rPr>
      <t xml:space="preserve">
</t>
    </r>
  </si>
  <si>
    <r>
      <rPr>
        <rFont val="Arial"/>
        <b/>
        <color theme="1"/>
        <sz val="10.0"/>
      </rPr>
      <t>(b) Ejemplos:</t>
    </r>
    <r>
      <rPr>
        <rFont val="Arial"/>
        <b val="0"/>
        <color theme="1"/>
        <sz val="10.0"/>
      </rPr>
      <t xml:space="preserve">
        En el caso de viajes, indicar Origen/Destino (si corresponde también escalas)
        Si se tratara de servicios tipo catering, indicar las cantidades de asistentes, así como los días en que se demanda la prestación del servicio.
        Si fuera papelería indicar, cantidades de afiches, trípticos, etc.</t>
    </r>
  </si>
  <si>
    <r>
      <rPr>
        <rFont val="Trebuchet MS"/>
        <b/>
        <color theme="1"/>
        <sz val="10.0"/>
      </rPr>
      <t>Empresa</t>
    </r>
    <r>
      <rPr>
        <rFont val="Trebuchet MS"/>
        <b val="0"/>
        <i/>
        <color theme="1"/>
        <sz val="8.0"/>
      </rPr>
      <t xml:space="preserve">
(Nombre fiscal de la empresa)</t>
    </r>
  </si>
  <si>
    <r>
      <rPr>
        <rFont val="Trebuchet MS"/>
        <b/>
        <color theme="1"/>
        <sz val="10.0"/>
      </rPr>
      <t>Nº de CUIT, Dirección, Teléfono</t>
    </r>
    <r>
      <rPr>
        <rFont val="Trebuchet MS"/>
        <b val="0"/>
        <i/>
        <color theme="1"/>
        <sz val="10.0"/>
      </rPr>
      <t xml:space="preserve">
</t>
    </r>
    <r>
      <rPr>
        <rFont val="Trebuchet MS"/>
        <b val="0"/>
        <i/>
        <color theme="1"/>
        <sz val="8.0"/>
      </rPr>
      <t>(Datos de la empresa)</t>
    </r>
  </si>
  <si>
    <r>
      <rPr>
        <rFont val="Trebuchet MS"/>
        <b/>
        <color theme="1"/>
        <sz val="10.0"/>
      </rPr>
      <t>Descripción del
bien/ servicio (b)</t>
    </r>
    <r>
      <rPr>
        <rFont val="Trebuchet MS"/>
        <b val="0"/>
        <i/>
        <color theme="1"/>
        <sz val="10.0"/>
      </rPr>
      <t xml:space="preserve">
</t>
    </r>
    <r>
      <rPr>
        <rFont val="Trebuchet MS"/>
        <b val="0"/>
        <i/>
        <color theme="1"/>
        <sz val="8.0"/>
      </rPr>
      <t>Características de los bienes/ servicios</t>
    </r>
  </si>
  <si>
    <r>
      <rPr>
        <rFont val="Trebuchet MS"/>
        <b/>
        <color theme="1"/>
        <sz val="10.0"/>
      </rPr>
      <t xml:space="preserve">Importe Unitario
</t>
    </r>
    <r>
      <rPr>
        <rFont val="Trebuchet MS"/>
        <b val="0"/>
        <i/>
        <color theme="1"/>
        <sz val="8.0"/>
      </rPr>
      <t>(moneda nacional)</t>
    </r>
  </si>
  <si>
    <r>
      <rPr>
        <rFont val="Trebuchet MS"/>
        <b/>
        <color theme="1"/>
        <sz val="10.0"/>
        <u/>
      </rPr>
      <t>Importe Total</t>
    </r>
    <r>
      <rPr>
        <rFont val="Trebuchet MS"/>
        <b/>
        <color theme="1"/>
        <sz val="10.0"/>
        <u/>
      </rPr>
      <t xml:space="preserve">
 IVA incluido
</t>
    </r>
    <r>
      <rPr>
        <rFont val="Trebuchet MS"/>
        <b val="0"/>
        <i/>
        <color theme="1"/>
        <sz val="8.0"/>
        <u/>
      </rPr>
      <t>(moneda nacional)</t>
    </r>
  </si>
  <si>
    <r>
      <rPr>
        <rFont val="Arial"/>
        <b/>
        <color theme="1"/>
        <sz val="10.0"/>
      </rPr>
      <t xml:space="preserve">Importe Total
</t>
    </r>
    <r>
      <rPr>
        <rFont val="Arial"/>
        <b val="0"/>
        <i/>
        <color theme="1"/>
        <sz val="8.0"/>
      </rPr>
      <t>(moneda extranjera)</t>
    </r>
  </si>
  <si>
    <r>
      <rPr>
        <rFont val="Trebuchet MS"/>
        <b/>
        <color theme="1"/>
        <sz val="10.0"/>
      </rPr>
      <t xml:space="preserve">Forma de Pago 
</t>
    </r>
    <r>
      <rPr>
        <rFont val="Trebuchet MS"/>
        <b val="0"/>
        <i/>
        <color theme="1"/>
        <sz val="8.0"/>
      </rPr>
      <t>(Contado o Cheque)</t>
    </r>
  </si>
  <si>
    <r>
      <rPr>
        <rFont val="Trebuchet MS"/>
        <b/>
        <color theme="1"/>
        <sz val="10.0"/>
      </rPr>
      <t xml:space="preserve">Observaciones </t>
    </r>
    <r>
      <rPr>
        <rFont val="Trebuchet MS"/>
        <b val="0"/>
        <i/>
        <color theme="1"/>
        <sz val="10.0"/>
      </rPr>
      <t xml:space="preserve">
</t>
    </r>
    <r>
      <rPr>
        <rFont val="Trebuchet MS"/>
        <b val="0"/>
        <i/>
        <color theme="1"/>
        <sz val="8.0"/>
      </rPr>
      <t>(se debe incluir toda aquella característica que no ha sido posible incluir anteriormente)</t>
    </r>
  </si>
  <si>
    <t>https://www.mercadolibre.com.co/servidor-hp-proliant-ml350e-gen8/up/MCOU3411568531#polycard_client=search-nordic&amp;search_layout=grid&amp;position=34&amp;type=product&amp;tracking_id=88f7a61e-60c0-49c9-8ffb-4cb7f84011c1&amp;wid=MCO1668989017&amp;sid=searchadgrpid=155794384686&amp;dib=eyJ2IjoiMSJ9.vYi2pIIiGRBedIr2jKVR4ybPOOFZSWbEDb958QPq9NarZfdDgLhPG1rwbxctloAyzlgEiJT22MxWfeOLuojU9lMgaWCspcaWFdcfhotfIJLw4HKo4BMqEq3usCY3QITk_O9c8ve6tss3sWwYeNc004FfpXfPf7LJv1GbZxOGSii9Zo-V7IZ_1V_HKTu3oHC3by1vwuC41wtIhixDpZLzPkPqyy3a8UQThf6lEfmQBG8.ce6UuJy1KMSj4ZCWiuK1ejBTgg8_WeHUDg2rWRQxGWE&amp;dib_tag=se&amp;hvadid=685760356930&amp;hvdev=c&amp;hvlocphy=1003659&amp;hvnetw=g&amp;hvqmt=e&amp;hvrand=12856362696261638438&amp;hvtargid=kwd-333776316623&amp;hydadcr=2263_13512609&amp;keywords=servidores+computadora&amp;qid=1714839274&amp;sr=8-1-spons&amp;sp_csd=d2lkZ2V0TmFtZT1zcF9hdGY&amp;psc=1</t>
  </si>
  <si>
    <t xml:space="preserve">Servidor Hp Proliant Ml350e Gen8 2 Tb 32 Gb Intel (Usado)
</t>
  </si>
  <si>
    <t xml:space="preserve">Capacidad del disco: 2 TB
Memoria RAM: 32 GB
</t>
  </si>
  <si>
    <t>https://www.mercadolibre.com.co/servidor-lenovo-thinkserver-ts440-xeon-ram-16gb-600gbx2-sas/up/MCOU3051483357#polycard_client=search-nordic&amp;search_layout=grid&amp;position=1&amp;type=product&amp;tracking_id=df37578b-f61e-45c2-9e06-1f96e4bc5000&amp;wid=MCO2828059520&amp;sid=search</t>
  </si>
  <si>
    <t xml:space="preserve">Servidor Lenovo Thinkserver Ts440 Xeon Ram 16gb 600gbx2 Sas 16 Gb (Reacondicionado)
</t>
  </si>
  <si>
    <t>Equipado con un procesador Intel Xeon E3 1226 V3, este servidor ofrece una potencia excepcional para manejar cargas de trabajo intensivas y aplicaciones críticas</t>
  </si>
  <si>
    <t>https://www.mercadolibre.com.co/servidores-hp-proliant-ml110-g7-intel-xeon-e31240-oferta/up/MCOU3158605797#polycard_client=search-nordic&amp;search_layout=grid&amp;position=40&amp;type=product&amp;tracking_id=169b2c1b-219d-45bd-9bc7-172c1909f054&amp;wid=MCO1578463349&amp;sid=search</t>
  </si>
  <si>
    <t>Servidores Hp Proliant Ml110 G7, Intel Xeon E3-1240 Oferta! 8 Gb (Usado)</t>
  </si>
  <si>
    <t xml:space="preserve">Garantía del vendedor: 12 meses
</t>
  </si>
  <si>
    <r>
      <rPr>
        <rFont val="Arial"/>
        <b/>
        <color theme="1"/>
        <sz val="10.0"/>
      </rPr>
      <t xml:space="preserve">(a) Se deben presentar tres (3) presupuestos cuando:   
   </t>
    </r>
    <r>
      <rPr>
        <rFont val="Arial"/>
        <b val="0"/>
        <color theme="1"/>
        <sz val="10.0"/>
      </rPr>
      <t>El valor del gasto supere el monto de pesos un mil ($ 1.000,00). 
     Se pueden presentar al menos tres (3)</t>
    </r>
    <r>
      <rPr>
        <rFont val="Arial"/>
        <b val="0"/>
        <color theme="1"/>
        <sz val="10.0"/>
      </rPr>
      <t xml:space="preserve"> solicitudes de cotización (del bien o servicio a contratar) cursadas</t>
    </r>
    <r>
      <rPr>
        <rFont val="Arial"/>
        <b val="0"/>
        <color theme="1"/>
        <sz val="10.0"/>
      </rPr>
      <t xml:space="preserve"> a tres o más empresas oferentes.
     L</t>
    </r>
    <r>
      <rPr>
        <rFont val="Arial"/>
        <b val="0"/>
        <color theme="1"/>
        <sz val="10.0"/>
      </rPr>
      <t xml:space="preserve">a selección del proveedor se hará con el criterio del más bajo precio.
     </t>
    </r>
    <r>
      <rPr>
        <rFont val="Arial"/>
        <b/>
        <color theme="1"/>
        <sz val="10.0"/>
      </rPr>
      <t>En caso de no contar con tres (3) presupuestos, o no poder seleccionar al proveedor que ofrece menor precio, presentar este cuadro una nota de justificación siguiendo las pautas del ítem    (XX)</t>
    </r>
    <r>
      <rPr>
        <rFont val="Arial"/>
        <b val="0"/>
        <color theme="1"/>
        <sz val="10.0"/>
      </rPr>
      <t xml:space="preserve">
</t>
    </r>
  </si>
  <si>
    <r>
      <rPr>
        <rFont val="Arial"/>
        <b/>
        <color theme="1"/>
        <sz val="10.0"/>
      </rPr>
      <t>(b) Ejemplos:</t>
    </r>
    <r>
      <rPr>
        <rFont val="Arial"/>
        <b val="0"/>
        <color theme="1"/>
        <sz val="10.0"/>
      </rPr>
      <t xml:space="preserve">
        En el caso de viajes, indicar Origen/Destino (si corresponde también escalas)
        Si se tratara de servicios tipo catering, indicar las cantidades de asistentes, así como los días en que se demanda la prestación del servicio.
        Si fuera papelería indicar, cantidades de afiches, trípticos, etc.</t>
    </r>
  </si>
  <si>
    <r>
      <rPr>
        <rFont val="Trebuchet MS"/>
        <b/>
        <color theme="1"/>
        <sz val="10.0"/>
      </rPr>
      <t>Empresa</t>
    </r>
    <r>
      <rPr>
        <rFont val="Trebuchet MS"/>
        <b val="0"/>
        <i/>
        <color theme="1"/>
        <sz val="8.0"/>
      </rPr>
      <t xml:space="preserve">
(Nombre fiscal de la empresa)</t>
    </r>
  </si>
  <si>
    <r>
      <rPr>
        <rFont val="Trebuchet MS"/>
        <b/>
        <color theme="1"/>
        <sz val="10.0"/>
      </rPr>
      <t>Nº de CUIT, Dirección, Teléfono</t>
    </r>
    <r>
      <rPr>
        <rFont val="Trebuchet MS"/>
        <b val="0"/>
        <i/>
        <color theme="1"/>
        <sz val="10.0"/>
      </rPr>
      <t xml:space="preserve">
</t>
    </r>
    <r>
      <rPr>
        <rFont val="Trebuchet MS"/>
        <b val="0"/>
        <i/>
        <color theme="1"/>
        <sz val="8.0"/>
      </rPr>
      <t>(Datos de la empresa)</t>
    </r>
  </si>
  <si>
    <r>
      <rPr>
        <rFont val="Trebuchet MS"/>
        <b/>
        <color theme="1"/>
        <sz val="10.0"/>
      </rPr>
      <t>Descripción del
bien/ servicio (b)</t>
    </r>
    <r>
      <rPr>
        <rFont val="Trebuchet MS"/>
        <b val="0"/>
        <i/>
        <color theme="1"/>
        <sz val="10.0"/>
      </rPr>
      <t xml:space="preserve">
</t>
    </r>
    <r>
      <rPr>
        <rFont val="Trebuchet MS"/>
        <b val="0"/>
        <i/>
        <color theme="1"/>
        <sz val="8.0"/>
      </rPr>
      <t>Características de los bienes/ servicios</t>
    </r>
  </si>
  <si>
    <r>
      <rPr>
        <rFont val="Trebuchet MS"/>
        <b/>
        <color theme="1"/>
        <sz val="10.0"/>
      </rPr>
      <t xml:space="preserve">Importe Unitario
</t>
    </r>
    <r>
      <rPr>
        <rFont val="Trebuchet MS"/>
        <b val="0"/>
        <i/>
        <color theme="1"/>
        <sz val="8.0"/>
      </rPr>
      <t>(moneda nacional)</t>
    </r>
  </si>
  <si>
    <r>
      <rPr>
        <rFont val="Trebuchet MS"/>
        <b/>
        <color theme="1"/>
        <sz val="10.0"/>
        <u/>
      </rPr>
      <t>Importe Total</t>
    </r>
    <r>
      <rPr>
        <rFont val="Trebuchet MS"/>
        <b/>
        <color theme="1"/>
        <sz val="10.0"/>
        <u/>
      </rPr>
      <t xml:space="preserve">
 IVA incluido
</t>
    </r>
    <r>
      <rPr>
        <rFont val="Trebuchet MS"/>
        <b val="0"/>
        <i/>
        <color theme="1"/>
        <sz val="8.0"/>
        <u/>
      </rPr>
      <t>(moneda nacional)</t>
    </r>
  </si>
  <si>
    <r>
      <rPr>
        <rFont val="Arial"/>
        <b/>
        <color theme="1"/>
        <sz val="10.0"/>
      </rPr>
      <t xml:space="preserve">Importe Total
</t>
    </r>
    <r>
      <rPr>
        <rFont val="Arial"/>
        <b val="0"/>
        <i/>
        <color theme="1"/>
        <sz val="8.0"/>
      </rPr>
      <t>(moneda extranjera)</t>
    </r>
  </si>
  <si>
    <r>
      <rPr>
        <rFont val="Trebuchet MS"/>
        <b/>
        <color theme="1"/>
        <sz val="10.0"/>
      </rPr>
      <t xml:space="preserve">Forma de Pago 
</t>
    </r>
    <r>
      <rPr>
        <rFont val="Trebuchet MS"/>
        <b val="0"/>
        <i/>
        <color theme="1"/>
        <sz val="8.0"/>
      </rPr>
      <t>(Contado o Cheque)</t>
    </r>
  </si>
  <si>
    <r>
      <rPr>
        <rFont val="Trebuchet MS"/>
        <b/>
        <color theme="1"/>
        <sz val="10.0"/>
      </rPr>
      <t xml:space="preserve">Observaciones </t>
    </r>
    <r>
      <rPr>
        <rFont val="Trebuchet MS"/>
        <b val="0"/>
        <i/>
        <color theme="1"/>
        <sz val="10.0"/>
      </rPr>
      <t xml:space="preserve">
</t>
    </r>
    <r>
      <rPr>
        <rFont val="Trebuchet MS"/>
        <b val="0"/>
        <i/>
        <color theme="1"/>
        <sz val="8.0"/>
      </rPr>
      <t>(se debe incluir toda aquella característica que no ha sido posible incluir anteriormente)</t>
    </r>
  </si>
  <si>
    <t>https://www.mercadolibre.com.co/memoria-ram-adata-ddr4-3200mhz-8gb-spectrix-d35g-negra-rgb/p/MCO32947978#polycard_client=search-nordic&amp;search_layout=stack&amp;position=14&amp;type=product&amp;tracking_id=a13a35b1-d6aa-4573-acdc-cd4086a1b00d&amp;wid=MCO1664055077&amp;sid=search</t>
  </si>
  <si>
    <t>Memoria Ram Adata Ddr4 3200mhz 8gb Spectrix</t>
  </si>
  <si>
    <t>¡Optimiza al máximo el rendimiento de tu ordenador y reduce el consumo energético!</t>
  </si>
  <si>
    <t>https://www.mercadolibre.com.co/memoria-ram-timetec-pinnacle-rgb-16gb-ddr4-3200mhz-gamer/p/MCO40536874?pdp_filters=item_id:MCO2722531542#is_advertising=true&amp;searchVariation=MCO40536874&amp;backend_model=search-backend&amp;position=1&amp;search_layout=stack&amp;type=pad&amp;tracking_id=ab7a3ee3-603e-4276-a069-5ca16ba9b8d2&amp;ad_domain=VQCATCORE_LST&amp;ad_position=1&amp;ad_click_id=N2U4YjU4N2YtYjdkMi00MDc3LTg1OTctYjRhYjJlZTM5ZDEz</t>
  </si>
  <si>
    <t>Memoria Ram Timetec Pinnacle Rgb  2x8 16gb Ddr4 3200mhz Gamer</t>
  </si>
  <si>
    <t xml:space="preserve">2 modulos de 8gb haciendo un total de 16gb, DDR4 SDRAM con velocidad de 3.2 GHz que optimiza el rendimiento del sistema.
</t>
  </si>
  <si>
    <t>https://www.mercadolibre.com.co/memoria-ram-kingston-hyperx-fury-8gb-ddr4-3200mhz-hx432c16fb38/p/MCO22100554#polycard_client=search-nordic&amp;search_layout=stack&amp;position=5&amp;type=product&amp;tracking_id=55455934-4bc1-4171-b256-a51fc6f7dbbe&amp;wid=MCO1614310077&amp;sid=search</t>
  </si>
  <si>
    <t xml:space="preserve">Memoria Ram Kingston Hyperx Fury 8gb Ddr4 3200mhz HX432C16FB3/8
</t>
  </si>
  <si>
    <t>Con su tecnología DDR4, mejorará el desempeño de tu equipo, ya que aumentará la fluidez y la velocidad en la transferencia de datos</t>
  </si>
  <si>
    <r>
      <rPr>
        <rFont val="Arial"/>
        <b/>
        <color theme="1"/>
        <sz val="10.0"/>
      </rPr>
      <t xml:space="preserve">(a) Se deben presentar tres (3) presupuestos cuando:   
   </t>
    </r>
    <r>
      <rPr>
        <rFont val="Arial"/>
        <b val="0"/>
        <color theme="1"/>
        <sz val="10.0"/>
      </rPr>
      <t>El valor del gasto supere el monto de pesos un mil ($ 1.000,00). 
     Se pueden presentar al menos tres (3)</t>
    </r>
    <r>
      <rPr>
        <rFont val="Arial"/>
        <b val="0"/>
        <color theme="1"/>
        <sz val="10.0"/>
      </rPr>
      <t xml:space="preserve"> solicitudes de cotización (del bien o servicio a contratar) cursadas</t>
    </r>
    <r>
      <rPr>
        <rFont val="Arial"/>
        <b val="0"/>
        <color theme="1"/>
        <sz val="10.0"/>
      </rPr>
      <t xml:space="preserve"> a tres o más empresas oferentes.
     L</t>
    </r>
    <r>
      <rPr>
        <rFont val="Arial"/>
        <b val="0"/>
        <color theme="1"/>
        <sz val="10.0"/>
      </rPr>
      <t xml:space="preserve">a selección del proveedor se hará con el criterio del más bajo precio.
     </t>
    </r>
    <r>
      <rPr>
        <rFont val="Arial"/>
        <b/>
        <color theme="1"/>
        <sz val="10.0"/>
      </rPr>
      <t>En caso de no contar con tres (3) presupuestos, o no poder seleccionar al proveedor que ofrece menor precio, presentar este cuadro una nota de justificación siguiendo las pautas del ítem    (XX)</t>
    </r>
    <r>
      <rPr>
        <rFont val="Arial"/>
        <b val="0"/>
        <color theme="1"/>
        <sz val="10.0"/>
      </rPr>
      <t xml:space="preserve">
</t>
    </r>
  </si>
  <si>
    <r>
      <rPr>
        <rFont val="Arial"/>
        <b/>
        <color theme="1"/>
        <sz val="10.0"/>
      </rPr>
      <t>(b) Ejemplos:</t>
    </r>
    <r>
      <rPr>
        <rFont val="Arial"/>
        <b val="0"/>
        <color theme="1"/>
        <sz val="10.0"/>
      </rPr>
      <t xml:space="preserve">
        En el caso de viajes, indicar Origen/Destino (si corresponde también escalas)
        Si se tratara de servicios tipo catering, indicar las cantidades de asistentes, así como los días en que se demanda la prestación del servicio.
        Si fuera papelería indicar, cantidades de afiches, trípticos, etc.</t>
    </r>
  </si>
  <si>
    <r>
      <rPr>
        <rFont val="Trebuchet MS"/>
        <b/>
        <color theme="1"/>
        <sz val="10.0"/>
      </rPr>
      <t>Empresa</t>
    </r>
    <r>
      <rPr>
        <rFont val="Trebuchet MS"/>
        <b val="0"/>
        <i/>
        <color theme="1"/>
        <sz val="8.0"/>
      </rPr>
      <t xml:space="preserve">
(Nombre fiscal de la empresa)</t>
    </r>
  </si>
  <si>
    <r>
      <rPr>
        <rFont val="Trebuchet MS"/>
        <b/>
        <color theme="1"/>
        <sz val="10.0"/>
      </rPr>
      <t>Nº de CUIT, Dirección, Teléfono</t>
    </r>
    <r>
      <rPr>
        <rFont val="Trebuchet MS"/>
        <b val="0"/>
        <i/>
        <color theme="1"/>
        <sz val="10.0"/>
      </rPr>
      <t xml:space="preserve">
</t>
    </r>
    <r>
      <rPr>
        <rFont val="Trebuchet MS"/>
        <b val="0"/>
        <i/>
        <color theme="1"/>
        <sz val="8.0"/>
      </rPr>
      <t>(Datos de la empresa)</t>
    </r>
  </si>
  <si>
    <r>
      <rPr>
        <rFont val="Trebuchet MS"/>
        <b/>
        <color theme="1"/>
        <sz val="10.0"/>
      </rPr>
      <t>Descripción del
bien/ servicio (b)</t>
    </r>
    <r>
      <rPr>
        <rFont val="Trebuchet MS"/>
        <b val="0"/>
        <i/>
        <color theme="1"/>
        <sz val="10.0"/>
      </rPr>
      <t xml:space="preserve">
</t>
    </r>
    <r>
      <rPr>
        <rFont val="Trebuchet MS"/>
        <b val="0"/>
        <i/>
        <color theme="1"/>
        <sz val="8.0"/>
      </rPr>
      <t>Características de los bienes/ servicios</t>
    </r>
  </si>
  <si>
    <r>
      <rPr>
        <rFont val="Trebuchet MS"/>
        <b/>
        <color theme="1"/>
        <sz val="10.0"/>
      </rPr>
      <t xml:space="preserve">Importe Unitario
</t>
    </r>
    <r>
      <rPr>
        <rFont val="Trebuchet MS"/>
        <b val="0"/>
        <i/>
        <color theme="1"/>
        <sz val="8.0"/>
      </rPr>
      <t>(moneda nacional)</t>
    </r>
  </si>
  <si>
    <r>
      <rPr>
        <rFont val="Trebuchet MS"/>
        <b/>
        <color theme="1"/>
        <sz val="10.0"/>
        <u/>
      </rPr>
      <t>Importe Total</t>
    </r>
    <r>
      <rPr>
        <rFont val="Trebuchet MS"/>
        <b/>
        <color theme="1"/>
        <sz val="10.0"/>
        <u/>
      </rPr>
      <t xml:space="preserve">
 IVA incluido
</t>
    </r>
    <r>
      <rPr>
        <rFont val="Trebuchet MS"/>
        <b val="0"/>
        <i/>
        <color theme="1"/>
        <sz val="8.0"/>
        <u/>
      </rPr>
      <t>(moneda nacional)</t>
    </r>
  </si>
  <si>
    <r>
      <rPr>
        <rFont val="Arial"/>
        <b/>
        <color theme="1"/>
        <sz val="10.0"/>
      </rPr>
      <t xml:space="preserve">Importe Total
</t>
    </r>
    <r>
      <rPr>
        <rFont val="Arial"/>
        <b val="0"/>
        <i/>
        <color theme="1"/>
        <sz val="8.0"/>
      </rPr>
      <t>(moneda extranjera)</t>
    </r>
  </si>
  <si>
    <r>
      <rPr>
        <rFont val="Trebuchet MS"/>
        <b/>
        <color theme="1"/>
        <sz val="10.0"/>
      </rPr>
      <t xml:space="preserve">Forma de Pago 
</t>
    </r>
    <r>
      <rPr>
        <rFont val="Trebuchet MS"/>
        <b val="0"/>
        <i/>
        <color theme="1"/>
        <sz val="8.0"/>
      </rPr>
      <t>(Contado o Cheque)</t>
    </r>
  </si>
  <si>
    <r>
      <rPr>
        <rFont val="Trebuchet MS"/>
        <b/>
        <color theme="1"/>
        <sz val="10.0"/>
      </rPr>
      <t xml:space="preserve">Observaciones </t>
    </r>
    <r>
      <rPr>
        <rFont val="Trebuchet MS"/>
        <b val="0"/>
        <i/>
        <color theme="1"/>
        <sz val="10.0"/>
      </rPr>
      <t xml:space="preserve">
</t>
    </r>
    <r>
      <rPr>
        <rFont val="Trebuchet MS"/>
        <b val="0"/>
        <i/>
        <color theme="1"/>
        <sz val="8.0"/>
      </rPr>
      <t>(se debe incluir toda aquella característica que no ha sido posible incluir anteriormente)</t>
    </r>
  </si>
  <si>
    <t>https://www.mercadolibre.com.co/tarjeta-de-video-nvidia-gigabyte-geforce-700-series-gt-710-2gb/p/MCO17917195#polycard_client=search-nordic&amp;search_layout=stack&amp;position=17&amp;type=product&amp;tracking_id=1ae5b8f5-e8cd-4be0-b22f-5cc71d8fe044&amp;wid=MCO1621807471&amp;sid=search</t>
  </si>
  <si>
    <t>Tarjeta de video Nvidia Gigabyte GeForce 700 Series GT 710 2GB</t>
  </si>
  <si>
    <t xml:space="preserve">Con una velocidad de memoria de 1.6 GHz los datos del procesador central se van a traducir en información comprensible en tan solo un abrir y cerrar de ojos. Esta placa de video trabajará con rapidez para maximizar el tiempo real.
</t>
  </si>
  <si>
    <t>https://www.mercadolibre.com.co/tarjeta-de-video-nvidia-msi-geforce-10-series-gt-1030-oc-edition-2gb/p/MCO15185444#polycard_client=recommendations_pdp-v2p&amp;reco_backend=ranker_retrieval_system_org&amp;reco_model=rk_ent_v3_retsys_org&amp;reco_client=pdp-v2p&amp;reco_item_pos=0&amp;reco_backend_type=low_level&amp;reco_id=0f053842-f847-419b-bd39-dc86c1d67c8f&amp;wid=MCO2992783046&amp;sid=recos</t>
  </si>
  <si>
    <t xml:space="preserve">Tarjeta de video Nvidia MSI GeForce 10 Series GT 1030 OC Edition 2GB
</t>
  </si>
  <si>
    <t xml:space="preserve">Velocidad en cada lectura
Como cuenta con 384 núcleos, los cálculos para el procesamiento de gráficos se realizarán de forma simultánea logrando un resultado óptimo del trabajo de la placa. Esto le permitirá ejecutar lecturas dispersas y rápidas de y hacia la GPU.
</t>
  </si>
  <si>
    <t>FALABELLA</t>
  </si>
  <si>
    <t>https://www.falabella.com.co/falabella-co/product/145078221/Tarjeta-Grafica-Nvidea-Geforce-Gt-730-4gb-Gddr3-Pci-e-3.0/145078222</t>
  </si>
  <si>
    <t xml:space="preserve">Tarjeta Gráfica Nvidea Geforce Gt 730 4gb Gddr3 Pci-e 3.0
</t>
  </si>
  <si>
    <t xml:space="preserve">su resolución de 4096x2160 no te defraudará. La decodificación de los píxeles en tu pantalla te harán ver hasta los detalles más ínfimos en cada ilustración.
</t>
  </si>
  <si>
    <r>
      <rPr>
        <rFont val="Arial"/>
        <b/>
        <color theme="1"/>
        <sz val="10.0"/>
      </rPr>
      <t xml:space="preserve">(a) Se deben presentar tres (3) presupuestos cuando:   
   </t>
    </r>
    <r>
      <rPr>
        <rFont val="Arial"/>
        <b val="0"/>
        <color theme="1"/>
        <sz val="10.0"/>
      </rPr>
      <t>El valor del gasto supere el monto de pesos un mil ($ 1.000,00). 
     Se pueden presentar al menos tres (3)</t>
    </r>
    <r>
      <rPr>
        <rFont val="Arial"/>
        <b val="0"/>
        <color theme="1"/>
        <sz val="10.0"/>
      </rPr>
      <t xml:space="preserve"> solicitudes de cotización (del bien o servicio a contratar) cursadas</t>
    </r>
    <r>
      <rPr>
        <rFont val="Arial"/>
        <b val="0"/>
        <color theme="1"/>
        <sz val="10.0"/>
      </rPr>
      <t xml:space="preserve"> a tres o más empresas oferentes.
     L</t>
    </r>
    <r>
      <rPr>
        <rFont val="Arial"/>
        <b val="0"/>
        <color theme="1"/>
        <sz val="10.0"/>
      </rPr>
      <t xml:space="preserve">a selección del proveedor se hará con el criterio del más bajo precio.
     </t>
    </r>
    <r>
      <rPr>
        <rFont val="Arial"/>
        <b/>
        <color theme="1"/>
        <sz val="10.0"/>
      </rPr>
      <t>En caso de no contar con tres (3) presupuestos, o no poder seleccionar al proveedor que ofrece menor precio, presentar este cuadro una nota de justificación siguiendo las pautas del ítem    (XX)</t>
    </r>
    <r>
      <rPr>
        <rFont val="Arial"/>
        <b val="0"/>
        <color theme="1"/>
        <sz val="10.0"/>
      </rPr>
      <t xml:space="preserve">
</t>
    </r>
  </si>
  <si>
    <r>
      <rPr>
        <rFont val="Arial"/>
        <b/>
        <color theme="1"/>
        <sz val="10.0"/>
      </rPr>
      <t>(b) Ejemplos:</t>
    </r>
    <r>
      <rPr>
        <rFont val="Arial"/>
        <b val="0"/>
        <color theme="1"/>
        <sz val="10.0"/>
      </rPr>
      <t xml:space="preserve">
        En el caso de viajes, indicar Origen/Destino (si corresponde también escalas)
        Si se tratara de servicios tipo catering, indicar las cantidades de asistentes, así como los días en que se demanda la prestación del servicio.
        Si fuera papelería indicar, cantidades de afiches, trípticos, etc.</t>
    </r>
  </si>
  <si>
    <r>
      <rPr>
        <rFont val="Trebuchet MS"/>
        <b/>
        <color theme="1"/>
        <sz val="10.0"/>
      </rPr>
      <t>Empresa</t>
    </r>
    <r>
      <rPr>
        <rFont val="Trebuchet MS"/>
        <b val="0"/>
        <i/>
        <color theme="1"/>
        <sz val="8.0"/>
      </rPr>
      <t xml:space="preserve">
(Nombre fiscal de la empresa)</t>
    </r>
  </si>
  <si>
    <r>
      <rPr>
        <rFont val="Trebuchet MS"/>
        <b/>
        <color theme="1"/>
        <sz val="10.0"/>
      </rPr>
      <t>Nº de CUIT, Dirección, Teléfono</t>
    </r>
    <r>
      <rPr>
        <rFont val="Trebuchet MS"/>
        <b val="0"/>
        <i/>
        <color theme="1"/>
        <sz val="10.0"/>
      </rPr>
      <t xml:space="preserve">
</t>
    </r>
    <r>
      <rPr>
        <rFont val="Trebuchet MS"/>
        <b val="0"/>
        <i/>
        <color theme="1"/>
        <sz val="8.0"/>
      </rPr>
      <t>(Datos de la empresa)</t>
    </r>
  </si>
  <si>
    <r>
      <rPr>
        <rFont val="Trebuchet MS"/>
        <b/>
        <color theme="1"/>
        <sz val="10.0"/>
      </rPr>
      <t>Descripción del
bien/ servicio (b)</t>
    </r>
    <r>
      <rPr>
        <rFont val="Trebuchet MS"/>
        <b val="0"/>
        <i/>
        <color theme="1"/>
        <sz val="10.0"/>
      </rPr>
      <t xml:space="preserve">
</t>
    </r>
    <r>
      <rPr>
        <rFont val="Trebuchet MS"/>
        <b val="0"/>
        <i/>
        <color theme="1"/>
        <sz val="8.0"/>
      </rPr>
      <t>Características de los bienes/ servicios</t>
    </r>
  </si>
  <si>
    <r>
      <rPr>
        <rFont val="Trebuchet MS"/>
        <b/>
        <color theme="1"/>
        <sz val="10.0"/>
      </rPr>
      <t xml:space="preserve">Importe Unitario
</t>
    </r>
    <r>
      <rPr>
        <rFont val="Trebuchet MS"/>
        <b val="0"/>
        <i/>
        <color theme="1"/>
        <sz val="8.0"/>
      </rPr>
      <t>(moneda nacional)</t>
    </r>
  </si>
  <si>
    <r>
      <rPr>
        <rFont val="Trebuchet MS"/>
        <b/>
        <color theme="1"/>
        <sz val="10.0"/>
        <u/>
      </rPr>
      <t>Importe Total</t>
    </r>
    <r>
      <rPr>
        <rFont val="Trebuchet MS"/>
        <b/>
        <color theme="1"/>
        <sz val="10.0"/>
        <u/>
      </rPr>
      <t xml:space="preserve">
 IVA incluido
</t>
    </r>
    <r>
      <rPr>
        <rFont val="Trebuchet MS"/>
        <b val="0"/>
        <i/>
        <color theme="1"/>
        <sz val="8.0"/>
        <u/>
      </rPr>
      <t>(moneda nacional)</t>
    </r>
  </si>
  <si>
    <r>
      <rPr>
        <rFont val="Arial"/>
        <b/>
        <color theme="1"/>
        <sz val="10.0"/>
      </rPr>
      <t xml:space="preserve">Importe Total
</t>
    </r>
    <r>
      <rPr>
        <rFont val="Arial"/>
        <b val="0"/>
        <i/>
        <color theme="1"/>
        <sz val="8.0"/>
      </rPr>
      <t>(moneda extranjera)</t>
    </r>
  </si>
  <si>
    <r>
      <rPr>
        <rFont val="Trebuchet MS"/>
        <b/>
        <color theme="1"/>
        <sz val="10.0"/>
      </rPr>
      <t xml:space="preserve">Forma de Pago 
</t>
    </r>
    <r>
      <rPr>
        <rFont val="Trebuchet MS"/>
        <b val="0"/>
        <i/>
        <color theme="1"/>
        <sz val="8.0"/>
      </rPr>
      <t>(Contado o Cheque)</t>
    </r>
  </si>
  <si>
    <r>
      <rPr>
        <rFont val="Trebuchet MS"/>
        <b/>
        <color theme="1"/>
        <sz val="10.0"/>
      </rPr>
      <t xml:space="preserve">Observaciones </t>
    </r>
    <r>
      <rPr>
        <rFont val="Trebuchet MS"/>
        <b val="0"/>
        <i/>
        <color theme="1"/>
        <sz val="10.0"/>
      </rPr>
      <t xml:space="preserve">
</t>
    </r>
    <r>
      <rPr>
        <rFont val="Trebuchet MS"/>
        <b val="0"/>
        <i/>
        <color theme="1"/>
        <sz val="8.0"/>
      </rPr>
      <t>(se debe incluir toda aquella característica que no ha sido posible incluir anteriormente)</t>
    </r>
  </si>
  <si>
    <t>https://www.mercadolibre.com.co/procesador-gamer-intel-core-i5-12600kf-bx8071512600kf-de-10-nucleos-y-49ghz-de-frecuencia/p/MCO18720204?pdp_filters=item_id:MCO3079954926#is_advertising=true&amp;searchVariation=MCO18720204&amp;backend_model=search-backend&amp;position=1&amp;search_layout=stack&amp;type=pad&amp;tracking_id=eef054d1-add3-411c-a370-1174a517bc1a&amp;ad_domain=VQCATCORE_LST&amp;ad_position=1&amp;ad_click_id=YjI2NzE4YTItYmYxNC00NTc4LWJhM2UtY2UzMDkxNmE5OGEy</t>
  </si>
  <si>
    <t>Procesador gamer Intel Core i5-12600KF BX8071512600KF de 10 núcleos y 4.9GHz de frecuencia</t>
  </si>
  <si>
    <t>Ejecuta programas de edición de videos, creación de contenido, streaming y videojuegos sin afectar el rendimiento del dispositivo.</t>
  </si>
  <si>
    <t>https://www.mercadolibre.com.co/procesador-gamer-amd-ryzen-5-3600-de-6-nucleos-12-hilos-y-42ghz-100-100000031box/p/MCO15143240#polycard_client=search-nordic&amp;search_layout=stack&amp;position=25&amp;type=product&amp;tracking_id=4863590a-ae18-489d-81d5-aede30d620cf&amp;wid=MCO2828732580&amp;sid=search</t>
  </si>
  <si>
    <t xml:space="preserve">Procesador gamer AMD Ryzen 5 3600 de 6 núcleos / 12 hilos y 4.2GHz 100-100000031BOX
</t>
  </si>
  <si>
    <t xml:space="preserve">Clave en el rendimiento de tu computador de escritorio, ya no tienes que pensar en cómo distribuir el tiempo y acciones porque ahora las tareas en simultáneo son posibles.
</t>
  </si>
  <si>
    <t>https://www.mercadolibre.com.co/procesador-intel-core-i3-10100-bx8070110100-de-4-nucleos-y-43ghz-de-frecuencia-con-grafica-integrada/p/MCO15915916#polycard_client=search-nordic&amp;search_layout=stack&amp;position=1&amp;type=product&amp;tracking_id=584e9757-e365-4535-a6ea-0c8619111eab&amp;wid=MCO1164805894&amp;sid=search</t>
  </si>
  <si>
    <t>Procesador Intel Core i3-10100 BX8070110100 de 4 núcleos y 4.3GHz de frecuencia con gráfica integrada</t>
  </si>
  <si>
    <t xml:space="preserve">Cuenta con Hyper-Threading que favorece la ejecución de programas en simultáneo, al dividir el procesador físico en dos procesadores lógicos.
</t>
  </si>
  <si>
    <r>
      <rPr>
        <rFont val="Arial"/>
        <b/>
        <color theme="1"/>
        <sz val="10.0"/>
      </rPr>
      <t xml:space="preserve">(a) Se deben presentar tres (3) presupuestos cuando:   
   </t>
    </r>
    <r>
      <rPr>
        <rFont val="Arial"/>
        <b val="0"/>
        <color theme="1"/>
        <sz val="10.0"/>
      </rPr>
      <t>El valor del gasto supere el monto de pesos un mil ($ 1.000,00). 
     Se pueden presentar al menos tres (3)</t>
    </r>
    <r>
      <rPr>
        <rFont val="Arial"/>
        <b val="0"/>
        <color theme="1"/>
        <sz val="10.0"/>
      </rPr>
      <t xml:space="preserve"> solicitudes de cotización (del bien o servicio a contratar) cursadas</t>
    </r>
    <r>
      <rPr>
        <rFont val="Arial"/>
        <b val="0"/>
        <color theme="1"/>
        <sz val="10.0"/>
      </rPr>
      <t xml:space="preserve"> a tres o más empresas oferentes.
     L</t>
    </r>
    <r>
      <rPr>
        <rFont val="Arial"/>
        <b val="0"/>
        <color theme="1"/>
        <sz val="10.0"/>
      </rPr>
      <t xml:space="preserve">a selección del proveedor se hará con el criterio del más bajo precio.
     </t>
    </r>
    <r>
      <rPr>
        <rFont val="Arial"/>
        <b/>
        <color theme="1"/>
        <sz val="10.0"/>
      </rPr>
      <t>En caso de no contar con tres (3) presupuestos, o no poder seleccionar al proveedor que ofrece menor precio, presentar este cuadro una nota de justificación siguiendo las pautas del ítem    (XX)</t>
    </r>
    <r>
      <rPr>
        <rFont val="Arial"/>
        <b val="0"/>
        <color theme="1"/>
        <sz val="10.0"/>
      </rPr>
      <t xml:space="preserve">
</t>
    </r>
  </si>
  <si>
    <r>
      <rPr>
        <rFont val="Arial"/>
        <b/>
        <color theme="1"/>
        <sz val="10.0"/>
      </rPr>
      <t>(b) Ejemplos:</t>
    </r>
    <r>
      <rPr>
        <rFont val="Arial"/>
        <b val="0"/>
        <color theme="1"/>
        <sz val="10.0"/>
      </rPr>
      <t xml:space="preserve">
        En el caso de viajes, indicar Origen/Destino (si corresponde también escalas)
        Si se tratara de servicios tipo catering, indicar las cantidades de asistentes, así como los días en que se demanda la prestación del servicio.
        Si fuera papelería indicar, cantidades de afiches, trípticos, etc.</t>
    </r>
  </si>
  <si>
    <r>
      <rPr>
        <rFont val="Trebuchet MS"/>
        <b/>
        <color theme="1"/>
        <sz val="10.0"/>
      </rPr>
      <t>Empresa</t>
    </r>
    <r>
      <rPr>
        <rFont val="Trebuchet MS"/>
        <b val="0"/>
        <i/>
        <color theme="1"/>
        <sz val="8.0"/>
      </rPr>
      <t xml:space="preserve">
(Nombre fiscal de la empresa)</t>
    </r>
  </si>
  <si>
    <r>
      <rPr>
        <rFont val="Trebuchet MS"/>
        <b/>
        <color theme="1"/>
        <sz val="10.0"/>
      </rPr>
      <t>Nº de CUIT, Dirección, Teléfono</t>
    </r>
    <r>
      <rPr>
        <rFont val="Trebuchet MS"/>
        <b val="0"/>
        <i/>
        <color theme="1"/>
        <sz val="10.0"/>
      </rPr>
      <t xml:space="preserve">
</t>
    </r>
    <r>
      <rPr>
        <rFont val="Trebuchet MS"/>
        <b val="0"/>
        <i/>
        <color theme="1"/>
        <sz val="8.0"/>
      </rPr>
      <t>(Datos de la empresa)</t>
    </r>
  </si>
  <si>
    <r>
      <rPr>
        <rFont val="Trebuchet MS"/>
        <b/>
        <color theme="1"/>
        <sz val="10.0"/>
      </rPr>
      <t>Descripción del
bien/ servicio (b)</t>
    </r>
    <r>
      <rPr>
        <rFont val="Trebuchet MS"/>
        <b val="0"/>
        <i/>
        <color theme="1"/>
        <sz val="10.0"/>
      </rPr>
      <t xml:space="preserve">
</t>
    </r>
    <r>
      <rPr>
        <rFont val="Trebuchet MS"/>
        <b val="0"/>
        <i/>
        <color theme="1"/>
        <sz val="8.0"/>
      </rPr>
      <t>Características de los bienes/ servicios</t>
    </r>
  </si>
  <si>
    <r>
      <rPr>
        <rFont val="Trebuchet MS"/>
        <b/>
        <color theme="1"/>
        <sz val="10.0"/>
      </rPr>
      <t xml:space="preserve">Importe Unitario
</t>
    </r>
    <r>
      <rPr>
        <rFont val="Trebuchet MS"/>
        <b val="0"/>
        <i/>
        <color theme="1"/>
        <sz val="8.0"/>
      </rPr>
      <t>(moneda nacional)</t>
    </r>
  </si>
  <si>
    <r>
      <rPr>
        <rFont val="Trebuchet MS"/>
        <b/>
        <color theme="1"/>
        <sz val="10.0"/>
        <u/>
      </rPr>
      <t>Importe Total</t>
    </r>
    <r>
      <rPr>
        <rFont val="Trebuchet MS"/>
        <b/>
        <color theme="1"/>
        <sz val="10.0"/>
        <u/>
      </rPr>
      <t xml:space="preserve">
 IVA incluido
</t>
    </r>
    <r>
      <rPr>
        <rFont val="Trebuchet MS"/>
        <b val="0"/>
        <i/>
        <color theme="1"/>
        <sz val="8.0"/>
        <u/>
      </rPr>
      <t>(moneda nacional)</t>
    </r>
  </si>
  <si>
    <r>
      <rPr>
        <rFont val="Arial"/>
        <b/>
        <color theme="1"/>
        <sz val="10.0"/>
      </rPr>
      <t xml:space="preserve">Importe Total
</t>
    </r>
    <r>
      <rPr>
        <rFont val="Arial"/>
        <b val="0"/>
        <i/>
        <color theme="1"/>
        <sz val="8.0"/>
      </rPr>
      <t>(moneda extranjera)</t>
    </r>
  </si>
  <si>
    <r>
      <rPr>
        <rFont val="Trebuchet MS"/>
        <b/>
        <color theme="1"/>
        <sz val="10.0"/>
      </rPr>
      <t xml:space="preserve">Forma de Pago 
</t>
    </r>
    <r>
      <rPr>
        <rFont val="Trebuchet MS"/>
        <b val="0"/>
        <i/>
        <color theme="1"/>
        <sz val="8.0"/>
      </rPr>
      <t>(Contado o Cheque)</t>
    </r>
  </si>
  <si>
    <r>
      <rPr>
        <rFont val="Trebuchet MS"/>
        <b/>
        <color theme="1"/>
        <sz val="10.0"/>
      </rPr>
      <t xml:space="preserve">Observaciones </t>
    </r>
    <r>
      <rPr>
        <rFont val="Trebuchet MS"/>
        <b val="0"/>
        <i/>
        <color theme="1"/>
        <sz val="10.0"/>
      </rPr>
      <t xml:space="preserve">
</t>
    </r>
    <r>
      <rPr>
        <rFont val="Trebuchet MS"/>
        <b val="0"/>
        <i/>
        <color theme="1"/>
        <sz val="8.0"/>
      </rPr>
      <t>(se debe incluir toda aquella característica que no ha sido posible incluir anteriormente)</t>
    </r>
  </si>
  <si>
    <t>https://www.panamericana.com.co/teclado-basico-esenses-bk-107-159503/p</t>
  </si>
  <si>
    <t xml:space="preserve">Teclado básico Esenses BK 107
</t>
  </si>
  <si>
    <t>Cuenta con 107 teclas y se conecta a través de un puerto USB, lo que garantiza una instalación sencilla y rápida</t>
  </si>
  <si>
    <t>https://www.mercadolibre.com.co/teclado-genius-kb-100-usb-negro/p/MCO15293170#polycard_client=search-nordic&amp;search_layout=stack&amp;position=9&amp;type=product&amp;tracking_id=c23ed1cd-2eda-422d-b58c-a8483077138d&amp;wid=MCO1575073313&amp;sid=search</t>
  </si>
  <si>
    <t>Teclado Genius KB-100 USB Negro</t>
  </si>
  <si>
    <t>Peso ligero de 450 g, ideal para transporte y uso diario.
Ver característi</t>
  </si>
  <si>
    <t xml:space="preserve">Combo HP Alámbrico Teclado + Mouse 150 Negro
</t>
  </si>
  <si>
    <r>
      <rPr>
        <rFont val="Arial"/>
        <b/>
        <color theme="1"/>
        <sz val="10.0"/>
      </rPr>
      <t xml:space="preserve">(a) Se deben presentar tres (3) presupuestos cuando:   
   </t>
    </r>
    <r>
      <rPr>
        <rFont val="Arial"/>
        <b val="0"/>
        <color theme="1"/>
        <sz val="10.0"/>
      </rPr>
      <t>El valor del gasto supere el monto de pesos un mil ($ 1.000,00). 
     Se pueden presentar al menos tres (3)</t>
    </r>
    <r>
      <rPr>
        <rFont val="Arial"/>
        <b val="0"/>
        <color theme="1"/>
        <sz val="10.0"/>
      </rPr>
      <t xml:space="preserve"> solicitudes de cotización (del bien o servicio a contratar) cursadas</t>
    </r>
    <r>
      <rPr>
        <rFont val="Arial"/>
        <b val="0"/>
        <color theme="1"/>
        <sz val="10.0"/>
      </rPr>
      <t xml:space="preserve"> a tres o más empresas oferentes.
     L</t>
    </r>
    <r>
      <rPr>
        <rFont val="Arial"/>
        <b val="0"/>
        <color theme="1"/>
        <sz val="10.0"/>
      </rPr>
      <t xml:space="preserve">a selección del proveedor se hará con el criterio del más bajo precio.
     </t>
    </r>
    <r>
      <rPr>
        <rFont val="Arial"/>
        <b/>
        <color theme="1"/>
        <sz val="10.0"/>
      </rPr>
      <t>En caso de no contar con tres (3) presupuestos, o no poder seleccionar al proveedor que ofrece menor precio, presentar este cuadro una nota de justificación siguiendo las pautas del ítem    (XX)</t>
    </r>
    <r>
      <rPr>
        <rFont val="Arial"/>
        <b val="0"/>
        <color theme="1"/>
        <sz val="10.0"/>
      </rPr>
      <t xml:space="preserve">
</t>
    </r>
  </si>
  <si>
    <r>
      <rPr>
        <rFont val="Arial"/>
        <b/>
        <color theme="1"/>
        <sz val="10.0"/>
      </rPr>
      <t>(b) Ejemplos:</t>
    </r>
    <r>
      <rPr>
        <rFont val="Arial"/>
        <b val="0"/>
        <color theme="1"/>
        <sz val="10.0"/>
      </rPr>
      <t xml:space="preserve">
        En el caso de viajes, indicar Origen/Destino (si corresponde también escalas)
        Si se tratara de servicios tipo catering, indicar las cantidades de asistentes, así como los días en que se demanda la prestación del servicio.
        Si fuera papelería indicar, cantidades de afiches, trípticos, etc.</t>
    </r>
  </si>
  <si>
    <t xml:space="preserve"> </t>
  </si>
  <si>
    <r>
      <rPr>
        <rFont val="Trebuchet MS"/>
        <b/>
        <color theme="1"/>
        <sz val="10.0"/>
      </rPr>
      <t>Empresa</t>
    </r>
    <r>
      <rPr>
        <rFont val="Trebuchet MS"/>
        <b val="0"/>
        <i/>
        <color theme="1"/>
        <sz val="8.0"/>
      </rPr>
      <t xml:space="preserve">
(Nombre fiscal de la empresa)</t>
    </r>
  </si>
  <si>
    <r>
      <rPr>
        <rFont val="Trebuchet MS"/>
        <b/>
        <color theme="1"/>
        <sz val="10.0"/>
      </rPr>
      <t>Nº de CUIT, Dirección, Teléfono</t>
    </r>
    <r>
      <rPr>
        <rFont val="Trebuchet MS"/>
        <b val="0"/>
        <i/>
        <color theme="1"/>
        <sz val="10.0"/>
      </rPr>
      <t xml:space="preserve">
</t>
    </r>
    <r>
      <rPr>
        <rFont val="Trebuchet MS"/>
        <b val="0"/>
        <i/>
        <color theme="1"/>
        <sz val="8.0"/>
      </rPr>
      <t>(Datos de la empresa)</t>
    </r>
  </si>
  <si>
    <r>
      <rPr>
        <rFont val="Trebuchet MS"/>
        <b/>
        <color theme="1"/>
        <sz val="10.0"/>
      </rPr>
      <t>Descripción del
bien/ servicio (b)</t>
    </r>
    <r>
      <rPr>
        <rFont val="Trebuchet MS"/>
        <b val="0"/>
        <i/>
        <color theme="1"/>
        <sz val="10.0"/>
      </rPr>
      <t xml:space="preserve">
</t>
    </r>
    <r>
      <rPr>
        <rFont val="Trebuchet MS"/>
        <b val="0"/>
        <i/>
        <color theme="1"/>
        <sz val="8.0"/>
      </rPr>
      <t>Características de los bienes/ servicios</t>
    </r>
  </si>
  <si>
    <r>
      <rPr>
        <rFont val="Trebuchet MS"/>
        <b/>
        <color theme="1"/>
        <sz val="10.0"/>
      </rPr>
      <t xml:space="preserve">Importe Unitario
</t>
    </r>
    <r>
      <rPr>
        <rFont val="Trebuchet MS"/>
        <b val="0"/>
        <i/>
        <color theme="1"/>
        <sz val="8.0"/>
      </rPr>
      <t>(moneda nacional)</t>
    </r>
  </si>
  <si>
    <r>
      <rPr>
        <rFont val="Trebuchet MS"/>
        <b/>
        <color theme="1"/>
        <sz val="10.0"/>
        <u/>
      </rPr>
      <t>Importe Total</t>
    </r>
    <r>
      <rPr>
        <rFont val="Trebuchet MS"/>
        <b/>
        <color theme="1"/>
        <sz val="10.0"/>
        <u/>
      </rPr>
      <t xml:space="preserve">
 IVA incluido
</t>
    </r>
    <r>
      <rPr>
        <rFont val="Trebuchet MS"/>
        <b val="0"/>
        <i/>
        <color theme="1"/>
        <sz val="8.0"/>
        <u/>
      </rPr>
      <t>(moneda nacional)</t>
    </r>
  </si>
  <si>
    <r>
      <rPr>
        <rFont val="Arial"/>
        <b/>
        <color theme="1"/>
        <sz val="10.0"/>
      </rPr>
      <t xml:space="preserve">Importe Total
</t>
    </r>
    <r>
      <rPr>
        <rFont val="Arial"/>
        <b/>
        <i/>
        <color theme="1"/>
        <sz val="8.0"/>
      </rPr>
      <t>(moneda extranjera)</t>
    </r>
  </si>
  <si>
    <r>
      <rPr>
        <rFont val="Trebuchet MS"/>
        <b/>
        <color theme="1"/>
        <sz val="10.0"/>
      </rPr>
      <t xml:space="preserve">Forma de Pago 
</t>
    </r>
    <r>
      <rPr>
        <rFont val="Trebuchet MS"/>
        <b val="0"/>
        <i/>
        <color theme="1"/>
        <sz val="8.0"/>
      </rPr>
      <t>(Contado o Cheque)</t>
    </r>
  </si>
  <si>
    <r>
      <rPr>
        <rFont val="Trebuchet MS"/>
        <b/>
        <color theme="1"/>
        <sz val="10.0"/>
      </rPr>
      <t xml:space="preserve">Observaciones </t>
    </r>
    <r>
      <rPr>
        <rFont val="Trebuchet MS"/>
        <b val="0"/>
        <i/>
        <color theme="1"/>
        <sz val="10.0"/>
      </rPr>
      <t xml:space="preserve">
</t>
    </r>
    <r>
      <rPr>
        <rFont val="Trebuchet MS"/>
        <b val="0"/>
        <i/>
        <color theme="1"/>
        <sz val="8.0"/>
      </rPr>
      <t>(se debe incluir toda aquella característica que no ha sido posible incluir anteriormente)</t>
    </r>
  </si>
  <si>
    <t>Mercado Libre</t>
  </si>
  <si>
    <t>https://www.mercadolibre.com.co/mouse-inalambrico-genius-nx-7000-calm-black-1200-dpi-3bot/p/MCO6162786#polycard_client=search-nordic&amp;search_layout=stack&amp;position=26&amp;type=product&amp;tracking_id=cf30d6e6-2858-4afb-8771-15577523beb6&amp;wid=MCO1651585475&amp;sid=search</t>
  </si>
  <si>
    <t>Mouse Inalámbrico Genius Nx-7000 Calm Black</t>
  </si>
  <si>
    <t>Sensor óptico de alta precisión con resolución de 1200 DPI.</t>
  </si>
  <si>
    <t>https://www.alkosto.com/mouse-hp-alambrico-optico-100-negro/p/193905461370</t>
  </si>
  <si>
    <t>Mouse HP Alámbrico Óptico 100 Negro</t>
  </si>
  <si>
    <t xml:space="preserve">Está diseñado para usarlo todos los días, durante todo el día
</t>
  </si>
  <si>
    <r>
      <rPr>
        <rFont val="Arial"/>
        <b/>
        <color theme="1"/>
        <sz val="10.0"/>
      </rPr>
      <t xml:space="preserve">(a) Se deben presentar tres (3) presupuestos cuando:   
   </t>
    </r>
    <r>
      <rPr>
        <rFont val="Arial"/>
        <b val="0"/>
        <color theme="1"/>
        <sz val="10.0"/>
      </rPr>
      <t>El valor del gasto supere el monto de pesos un mil ($ 1.000,00). 
     Se pueden presentar al menos tres (3)</t>
    </r>
    <r>
      <rPr>
        <rFont val="Arial"/>
        <b val="0"/>
        <color theme="1"/>
        <sz val="10.0"/>
      </rPr>
      <t xml:space="preserve"> solicitudes de cotización (del bien o servicio a contratar) cursadas</t>
    </r>
    <r>
      <rPr>
        <rFont val="Arial"/>
        <b val="0"/>
        <color theme="1"/>
        <sz val="10.0"/>
      </rPr>
      <t xml:space="preserve"> a tres o más empresas oferentes.
     L</t>
    </r>
    <r>
      <rPr>
        <rFont val="Arial"/>
        <b val="0"/>
        <color theme="1"/>
        <sz val="10.0"/>
      </rPr>
      <t xml:space="preserve">a selección del proveedor se hará con el criterio del más bajo precio.
     </t>
    </r>
    <r>
      <rPr>
        <rFont val="Arial"/>
        <b/>
        <color theme="1"/>
        <sz val="10.0"/>
      </rPr>
      <t>En caso de no contar con tres (3) presupuestos, o no poder seleccionar al proveedor que ofrece menor precio, presentar este cuadro una nota de justificación siguiendo las pautas del ítem    (XX)</t>
    </r>
    <r>
      <rPr>
        <rFont val="Arial"/>
        <b val="0"/>
        <color theme="1"/>
        <sz val="10.0"/>
      </rPr>
      <t xml:space="preserve">
</t>
    </r>
  </si>
  <si>
    <r>
      <rPr>
        <rFont val="Arial"/>
        <b/>
        <color theme="1"/>
        <sz val="10.0"/>
      </rPr>
      <t>(b) Ejemplos:</t>
    </r>
    <r>
      <rPr>
        <rFont val="Arial"/>
        <b val="0"/>
        <color theme="1"/>
        <sz val="10.0"/>
      </rPr>
      <t xml:space="preserve">
        En el caso de viajes, indicar Origen/Destino (si corresponde también escalas)
        Si se tratara de servicios tipo catering, indicar las cantidades de asistentes, así como los días en que se demanda la prestación del servicio.
        Si fuera papelería indicar, cantidades de afiches, trípticos, etc.</t>
    </r>
  </si>
  <si>
    <r>
      <rPr>
        <rFont val="Trebuchet MS"/>
        <b/>
        <color theme="1"/>
        <sz val="10.0"/>
      </rPr>
      <t>Empresa</t>
    </r>
    <r>
      <rPr>
        <rFont val="Trebuchet MS"/>
        <b val="0"/>
        <i/>
        <color theme="1"/>
        <sz val="8.0"/>
      </rPr>
      <t xml:space="preserve">
(Nombre fiscal de la empresa)</t>
    </r>
  </si>
  <si>
    <r>
      <rPr>
        <rFont val="Trebuchet MS"/>
        <b/>
        <color theme="1"/>
        <sz val="10.0"/>
      </rPr>
      <t>Nº de CUIT, Dirección, Teléfono</t>
    </r>
    <r>
      <rPr>
        <rFont val="Trebuchet MS"/>
        <b val="0"/>
        <i/>
        <color theme="1"/>
        <sz val="10.0"/>
      </rPr>
      <t xml:space="preserve">
</t>
    </r>
    <r>
      <rPr>
        <rFont val="Trebuchet MS"/>
        <b val="0"/>
        <i/>
        <color theme="1"/>
        <sz val="8.0"/>
      </rPr>
      <t>(Datos de la empresa)</t>
    </r>
  </si>
  <si>
    <r>
      <rPr>
        <rFont val="Trebuchet MS"/>
        <b/>
        <color theme="1"/>
        <sz val="10.0"/>
      </rPr>
      <t>Descripción del
bien/ servicio (b)</t>
    </r>
    <r>
      <rPr>
        <rFont val="Trebuchet MS"/>
        <b val="0"/>
        <i/>
        <color theme="1"/>
        <sz val="10.0"/>
      </rPr>
      <t xml:space="preserve">
</t>
    </r>
    <r>
      <rPr>
        <rFont val="Trebuchet MS"/>
        <b val="0"/>
        <i/>
        <color theme="1"/>
        <sz val="8.0"/>
      </rPr>
      <t>Características de los bienes/ servicios</t>
    </r>
  </si>
  <si>
    <r>
      <rPr>
        <rFont val="Trebuchet MS"/>
        <b/>
        <color theme="1"/>
        <sz val="10.0"/>
      </rPr>
      <t xml:space="preserve">Importe Unitario
</t>
    </r>
    <r>
      <rPr>
        <rFont val="Trebuchet MS"/>
        <b val="0"/>
        <i/>
        <color theme="1"/>
        <sz val="8.0"/>
      </rPr>
      <t>(moneda nacional)</t>
    </r>
  </si>
  <si>
    <r>
      <rPr>
        <rFont val="Trebuchet MS"/>
        <b/>
        <color theme="1"/>
        <sz val="10.0"/>
        <u/>
      </rPr>
      <t>Importe Total</t>
    </r>
    <r>
      <rPr>
        <rFont val="Trebuchet MS"/>
        <b/>
        <color theme="1"/>
        <sz val="10.0"/>
        <u/>
      </rPr>
      <t xml:space="preserve">
 IVA incluido
</t>
    </r>
    <r>
      <rPr>
        <rFont val="Trebuchet MS"/>
        <b val="0"/>
        <i/>
        <color theme="1"/>
        <sz val="8.0"/>
        <u/>
      </rPr>
      <t>(moneda nacional)</t>
    </r>
  </si>
  <si>
    <r>
      <rPr>
        <rFont val="Arial"/>
        <b/>
        <color theme="1"/>
        <sz val="10.0"/>
      </rPr>
      <t xml:space="preserve">Importe Total
</t>
    </r>
    <r>
      <rPr>
        <rFont val="Arial"/>
        <b val="0"/>
        <i/>
        <color theme="1"/>
        <sz val="8.0"/>
      </rPr>
      <t>(moneda extranjera)</t>
    </r>
  </si>
  <si>
    <r>
      <rPr>
        <rFont val="Trebuchet MS"/>
        <b/>
        <color theme="1"/>
        <sz val="10.0"/>
      </rPr>
      <t xml:space="preserve">Forma de Pago 
</t>
    </r>
    <r>
      <rPr>
        <rFont val="Trebuchet MS"/>
        <b val="0"/>
        <i/>
        <color theme="1"/>
        <sz val="8.0"/>
      </rPr>
      <t>(Contado o Cheque)</t>
    </r>
  </si>
  <si>
    <r>
      <rPr>
        <rFont val="Trebuchet MS"/>
        <b/>
        <color theme="1"/>
        <sz val="10.0"/>
      </rPr>
      <t xml:space="preserve">Observaciones </t>
    </r>
    <r>
      <rPr>
        <rFont val="Trebuchet MS"/>
        <b val="0"/>
        <i/>
        <color theme="1"/>
        <sz val="10.0"/>
      </rPr>
      <t xml:space="preserve">
</t>
    </r>
    <r>
      <rPr>
        <rFont val="Trebuchet MS"/>
        <b val="0"/>
        <i/>
        <color theme="1"/>
        <sz val="8.0"/>
      </rPr>
      <t>(se debe incluir toda aquella característica que no ha sido posible incluir anteriormente)</t>
    </r>
  </si>
  <si>
    <t>NEXTCODES</t>
  </si>
  <si>
    <t>https://nextcodes.net/product/paquete-windows-11-pro-microsoft-office-2021-professional-plus/?utm_source=Google%20Shopping&amp;utm_campaign=productos&amp;utm_medium=cpc&amp;utm_term=1980&amp;gad_source=4&amp;gad_campaignid=22698964792&amp;gbraid=0AAAAA-acUFUfKzAQi9z7K3J_xQSxppkOS&amp;gclid=CjwKCAiA0eTJBhBaEiwA-Pa-hUz8jX7PH_n10JWTwO_Fi_uUOYnTrgJtbO73CyUDQh1Jk3fV-rfqnxoC_VkQAvD_BwE</t>
  </si>
  <si>
    <t>PAQUETE: Windows 11 Pro + Microsoft Office 2021 Professional Plus CDKEY</t>
  </si>
  <si>
    <t>Paquete de licencia y office</t>
  </si>
  <si>
    <t>BODEGA DIGITAL</t>
  </si>
  <si>
    <t>https://bodegadigital.biz/producto/licencia-windows-11-home/?tm=tt&amp;ap=gads&amp;aaid=adafErvhHpFk1&amp;utm_source=google&amp;utm_medium=paid&amp;utm_campaign=21812087502&amp;utm_content=171719426129&amp;utm_term=&amp;gadid=717567918131&amp;aelia_cs_currency=COP&amp;bup=CjwKCAiA0eTJBhBaEiwA-Pa-hcxDXap5qIkp1KL-8MKJNAUI-0SN7SoOJjRWk8YhpMxPNr_mCFhhFRoCMf8QAvD_BwE&amp;gad_source=4&amp;gad_campaignid=21812087502&amp;gbraid=0AAAAACkIdYaiLZ370x6Kz6dZgCAUEZMOc&amp;gclid=CjwKCAiA0eTJBhBaEiwA-Pa-hcxDXap5qIkp1KL-8MKJNAUI-0SN7SoOJjRWk8YhpMxPNr_mCFhhFRoCMf8QAvD_BwE</t>
  </si>
  <si>
    <t xml:space="preserve">Licencia Windows 11 Home
</t>
  </si>
  <si>
    <t>Licencia Windows Home</t>
  </si>
  <si>
    <t>TULICENCIAS</t>
  </si>
  <si>
    <t>https://tulicencias.com/product/windows-11-pro/?currency=COP&amp;utm_id=22950947926&amp;utm_source=google&amp;utm_medium=cpc&amp;utm_device=c&amp;gad_source=4&amp;gad_campaignid=22950947926&amp;gbraid=0AAAAA9_hf_B1rMRu8c5jqD_1OJrV1iUpP&amp;gclid=CjwKCAiA0eTJBhBaEiwA-Pa-hWg_-0WnVfo6KCBaSDzjd-Qaa2AadQrouHonM4up3tS3BJ1ToEt0wxoCwJcQAvD_BwE</t>
  </si>
  <si>
    <t xml:space="preserve">Windows 11 Pro
</t>
  </si>
  <si>
    <t xml:space="preserve">Disponible en todos los idiomas
</t>
  </si>
  <si>
    <r>
      <rPr>
        <rFont val="Arial"/>
        <b/>
        <color theme="1"/>
        <sz val="10.0"/>
      </rPr>
      <t xml:space="preserve">(a) Se deben presentar tres (3) presupuestos cuando:   
   </t>
    </r>
    <r>
      <rPr>
        <rFont val="Arial"/>
        <b val="0"/>
        <color theme="1"/>
        <sz val="10.0"/>
      </rPr>
      <t>El valor del gasto supere el monto de pesos un mil ($ 1.000,00). 
     Se pueden presentar al menos tres (3)</t>
    </r>
    <r>
      <rPr>
        <rFont val="Arial"/>
        <b val="0"/>
        <color theme="1"/>
        <sz val="10.0"/>
      </rPr>
      <t xml:space="preserve"> solicitudes de cotización (del bien o servicio a contratar) cursadas</t>
    </r>
    <r>
      <rPr>
        <rFont val="Arial"/>
        <b val="0"/>
        <color theme="1"/>
        <sz val="10.0"/>
      </rPr>
      <t xml:space="preserve"> a tres o más empresas oferentes.
     L</t>
    </r>
    <r>
      <rPr>
        <rFont val="Arial"/>
        <b val="0"/>
        <color theme="1"/>
        <sz val="10.0"/>
      </rPr>
      <t xml:space="preserve">a selección del proveedor se hará con el criterio del más bajo precio.
     </t>
    </r>
    <r>
      <rPr>
        <rFont val="Arial"/>
        <b/>
        <color theme="1"/>
        <sz val="10.0"/>
      </rPr>
      <t>En caso de no contar con tres (3) presupuestos, o no poder seleccionar al proveedor que ofrece menor precio, presentar este cuadro una nota de justificación siguiendo las pautas del ítem    (XX)</t>
    </r>
    <r>
      <rPr>
        <rFont val="Arial"/>
        <b val="0"/>
        <color theme="1"/>
        <sz val="10.0"/>
      </rPr>
      <t xml:space="preserve">
</t>
    </r>
  </si>
  <si>
    <r>
      <rPr>
        <rFont val="Arial"/>
        <b/>
        <color theme="1"/>
        <sz val="10.0"/>
      </rPr>
      <t>(b) Ejemplos:</t>
    </r>
    <r>
      <rPr>
        <rFont val="Arial"/>
        <b val="0"/>
        <color theme="1"/>
        <sz val="10.0"/>
      </rPr>
      <t xml:space="preserve">
        En el caso de viajes, indicar Origen/Destino (si corresponde también escalas)
        Si se tratara de servicios tipo catering, indicar las cantidades de asistentes, así como los días en que se demanda la prestación del servicio.
        Si fuera papelería indicar, cantidades de afiches, trípticos, etc.</t>
    </r>
  </si>
  <si>
    <r>
      <rPr>
        <rFont val="Trebuchet MS"/>
        <b/>
        <color theme="1"/>
        <sz val="10.0"/>
      </rPr>
      <t>Empresa</t>
    </r>
    <r>
      <rPr>
        <rFont val="Trebuchet MS"/>
        <b val="0"/>
        <i/>
        <color theme="1"/>
        <sz val="8.0"/>
      </rPr>
      <t xml:space="preserve">
(Nombre fiscal de la empresa)</t>
    </r>
  </si>
  <si>
    <r>
      <rPr>
        <rFont val="Trebuchet MS"/>
        <b/>
        <color theme="1"/>
        <sz val="10.0"/>
      </rPr>
      <t>Nº de CUIT, Dirección, Teléfono</t>
    </r>
    <r>
      <rPr>
        <rFont val="Trebuchet MS"/>
        <b val="0"/>
        <i/>
        <color theme="1"/>
        <sz val="10.0"/>
      </rPr>
      <t xml:space="preserve">
</t>
    </r>
    <r>
      <rPr>
        <rFont val="Trebuchet MS"/>
        <b val="0"/>
        <i/>
        <color theme="1"/>
        <sz val="8.0"/>
      </rPr>
      <t>(Datos de la empresa)</t>
    </r>
  </si>
  <si>
    <r>
      <rPr>
        <rFont val="Trebuchet MS"/>
        <b/>
        <color theme="1"/>
        <sz val="10.0"/>
      </rPr>
      <t>Descripción del
bien/ servicio (b)</t>
    </r>
    <r>
      <rPr>
        <rFont val="Trebuchet MS"/>
        <b val="0"/>
        <i/>
        <color theme="1"/>
        <sz val="10.0"/>
      </rPr>
      <t xml:space="preserve">
</t>
    </r>
    <r>
      <rPr>
        <rFont val="Trebuchet MS"/>
        <b val="0"/>
        <i/>
        <color theme="1"/>
        <sz val="8.0"/>
      </rPr>
      <t>Características de los bienes/ servicios</t>
    </r>
  </si>
  <si>
    <r>
      <rPr>
        <rFont val="Trebuchet MS"/>
        <b/>
        <color theme="1"/>
        <sz val="10.0"/>
      </rPr>
      <t xml:space="preserve">Importe Unitario
</t>
    </r>
    <r>
      <rPr>
        <rFont val="Trebuchet MS"/>
        <b val="0"/>
        <i/>
        <color theme="1"/>
        <sz val="8.0"/>
      </rPr>
      <t>(moneda nacional)</t>
    </r>
  </si>
  <si>
    <r>
      <rPr>
        <rFont val="Trebuchet MS"/>
        <b/>
        <color theme="1"/>
        <sz val="10.0"/>
        <u/>
      </rPr>
      <t>Importe Total</t>
    </r>
    <r>
      <rPr>
        <rFont val="Trebuchet MS"/>
        <b/>
        <color theme="1"/>
        <sz val="10.0"/>
        <u/>
      </rPr>
      <t xml:space="preserve">
 IVA incluido
</t>
    </r>
    <r>
      <rPr>
        <rFont val="Trebuchet MS"/>
        <b val="0"/>
        <i/>
        <color theme="1"/>
        <sz val="8.0"/>
        <u/>
      </rPr>
      <t>(moneda nacional)</t>
    </r>
  </si>
  <si>
    <r>
      <rPr>
        <rFont val="Arial"/>
        <b/>
        <color theme="1"/>
        <sz val="10.0"/>
      </rPr>
      <t xml:space="preserve">Importe Total
</t>
    </r>
    <r>
      <rPr>
        <rFont val="Arial"/>
        <b val="0"/>
        <i/>
        <color theme="1"/>
        <sz val="8.0"/>
      </rPr>
      <t>(moneda extranjera)</t>
    </r>
  </si>
  <si>
    <r>
      <rPr>
        <rFont val="Trebuchet MS"/>
        <b/>
        <color theme="1"/>
        <sz val="10.0"/>
      </rPr>
      <t xml:space="preserve">Forma de Pago 
</t>
    </r>
    <r>
      <rPr>
        <rFont val="Trebuchet MS"/>
        <b val="0"/>
        <i/>
        <color theme="1"/>
        <sz val="8.0"/>
      </rPr>
      <t>(Contado o Cheque)</t>
    </r>
  </si>
  <si>
    <r>
      <rPr>
        <rFont val="Trebuchet MS"/>
        <b/>
        <color theme="1"/>
        <sz val="10.0"/>
      </rPr>
      <t xml:space="preserve">Observaciones </t>
    </r>
    <r>
      <rPr>
        <rFont val="Trebuchet MS"/>
        <b val="0"/>
        <i/>
        <color theme="1"/>
        <sz val="10.0"/>
      </rPr>
      <t xml:space="preserve">
</t>
    </r>
    <r>
      <rPr>
        <rFont val="Trebuchet MS"/>
        <b val="0"/>
        <i/>
        <color theme="1"/>
        <sz val="8.0"/>
      </rPr>
      <t>(se debe incluir toda aquella característica que no ha sido posible incluir anteriormente)</t>
    </r>
  </si>
  <si>
    <t>G2A</t>
  </si>
  <si>
    <t xml:space="preserve">https://www.g2a.com/es/microsoft-visual-studio-2022-professional-pc-microsoft-key-global-i10000325952002?___currency=COP&amp;___language=es&amp;er=055c9053725c1f6ad1fd86196901382117c327559a76dd5c5643910fe11337bbf89054c37756fd128ef68cd6a66f1737&amp;uuid=6d5a73bc-30fb-4428-9094-a5b7bdf09cbe&amp;adid=GA-CO_PEB_TP_CST_PMAX_FULL&amp;id=47&amp;utm_medium=cpc&amp;utm_source=google&amp;utm_campaign=GA-CO_PEB_TP_CST_PMAX_FULL&amp;utm_id=21519124221&amp;gclsrc=aw.ds&amp;gad_source=1&amp;gad_campaignid=21525321002&amp;gbraid=0AAAAADqf3lG1TdI_6GGOhMrXj0qeYJzxJ&amp;gclid=CjwKCAiAwqHIBhAEEiwAx9cTecz1pr-SFBEjAbY1ovweknOApvquJ2lLyPZBp_EgY93cTk3udzEivBoChysQAvD_BwE
</t>
  </si>
  <si>
    <t>Microsoft Visual Studio 2022 Professional Global</t>
  </si>
  <si>
    <t>Revolution Soft</t>
  </si>
  <si>
    <t>https://revolutionsoft.com.co/programacion/microsoft-visual-studio-2022-professional.html?srsltid=AfmBOorwO7hKi656FSpT8VV_et-MSycgtVTI3STrlKb562kdpEAFMnZBb5U</t>
  </si>
  <si>
    <t>Visual Studio 2022 Professional - Licencia de por vida</t>
  </si>
  <si>
    <t>El mejor IDE completo para desarrolladores de .NET y C++ en Windows. Completamente equipado con una buena matriz de herramientas y características para elevar y mejorar todas las etapas del desarrollo de software.</t>
  </si>
  <si>
    <t xml:space="preserve">MICROSOFT </t>
  </si>
  <si>
    <t>https://www.microsoft.com/es-co/d/visual-studio-professional-2022/dg7gmgf0d3sj</t>
  </si>
  <si>
    <t>Visual Studio Professional 2022</t>
  </si>
  <si>
    <r>
      <rPr>
        <rFont val="Arial"/>
        <b/>
        <color theme="1"/>
        <sz val="10.0"/>
      </rPr>
      <t xml:space="preserve">(a) Se deben presentar tres (3) presupuestos cuando:   
   </t>
    </r>
    <r>
      <rPr>
        <rFont val="Arial"/>
        <b val="0"/>
        <color theme="1"/>
        <sz val="10.0"/>
      </rPr>
      <t>El valor del gasto supere el monto de pesos un mil ($ 1.000,00). 
     Se pueden presentar al menos tres (3)</t>
    </r>
    <r>
      <rPr>
        <rFont val="Arial"/>
        <b val="0"/>
        <color theme="1"/>
        <sz val="10.0"/>
      </rPr>
      <t xml:space="preserve"> solicitudes de cotización (del bien o servicio a contratar) cursadas</t>
    </r>
    <r>
      <rPr>
        <rFont val="Arial"/>
        <b val="0"/>
        <color theme="1"/>
        <sz val="10.0"/>
      </rPr>
      <t xml:space="preserve"> a tres o más empresas oferentes.
     L</t>
    </r>
    <r>
      <rPr>
        <rFont val="Arial"/>
        <b val="0"/>
        <color theme="1"/>
        <sz val="10.0"/>
      </rPr>
      <t xml:space="preserve">a selección del proveedor se hará con el criterio del más bajo precio.
     </t>
    </r>
    <r>
      <rPr>
        <rFont val="Arial"/>
        <b/>
        <color theme="1"/>
        <sz val="10.0"/>
      </rPr>
      <t>En caso de no contar con tres (3) presupuestos, o no poder seleccionar al proveedor que ofrece menor precio, presentar este cuadro una nota de justificación siguiendo las pautas del ítem    (XX)</t>
    </r>
    <r>
      <rPr>
        <rFont val="Arial"/>
        <b val="0"/>
        <color theme="1"/>
        <sz val="10.0"/>
      </rPr>
      <t xml:space="preserve">
</t>
    </r>
  </si>
  <si>
    <r>
      <rPr>
        <rFont val="Arial"/>
        <b/>
        <color theme="1"/>
        <sz val="10.0"/>
      </rPr>
      <t>(b) Ejemplos:</t>
    </r>
    <r>
      <rPr>
        <rFont val="Arial"/>
        <b val="0"/>
        <color theme="1"/>
        <sz val="10.0"/>
      </rPr>
      <t xml:space="preserve">
        En el caso de viajes, indicar Origen/Destino (si corresponde también escalas)
        Si se tratara de servicios tipo catering, indicar las cantidades de asistentes, así como los días en que se demanda la prestación del servicio.
        Si fuera papelería indicar, cantidades de afiches, trípticos, etc.</t>
    </r>
  </si>
  <si>
    <r>
      <rPr>
        <rFont val="Trebuchet MS"/>
        <b/>
        <color theme="1"/>
        <sz val="10.0"/>
      </rPr>
      <t>Empresa</t>
    </r>
    <r>
      <rPr>
        <rFont val="Trebuchet MS"/>
        <b val="0"/>
        <i/>
        <color theme="1"/>
        <sz val="8.0"/>
      </rPr>
      <t xml:space="preserve">
(Nombre fiscal de la empresa)</t>
    </r>
  </si>
  <si>
    <r>
      <rPr>
        <rFont val="Trebuchet MS"/>
        <b/>
        <color theme="1"/>
        <sz val="10.0"/>
      </rPr>
      <t>Nº de CUIT, Dirección, Teléfono</t>
    </r>
    <r>
      <rPr>
        <rFont val="Trebuchet MS"/>
        <b val="0"/>
        <i/>
        <color theme="1"/>
        <sz val="10.0"/>
      </rPr>
      <t xml:space="preserve">
</t>
    </r>
    <r>
      <rPr>
        <rFont val="Trebuchet MS"/>
        <b val="0"/>
        <i/>
        <color theme="1"/>
        <sz val="8.0"/>
      </rPr>
      <t>(Datos de la empresa)</t>
    </r>
  </si>
  <si>
    <r>
      <rPr>
        <rFont val="Trebuchet MS"/>
        <b/>
        <color theme="1"/>
        <sz val="10.0"/>
      </rPr>
      <t>Descripción del
bien/ servicio (b)</t>
    </r>
    <r>
      <rPr>
        <rFont val="Trebuchet MS"/>
        <b val="0"/>
        <i/>
        <color theme="1"/>
        <sz val="10.0"/>
      </rPr>
      <t xml:space="preserve">
</t>
    </r>
    <r>
      <rPr>
        <rFont val="Trebuchet MS"/>
        <b val="0"/>
        <i/>
        <color theme="1"/>
        <sz val="8.0"/>
      </rPr>
      <t>Características de los bienes/ servicios</t>
    </r>
  </si>
  <si>
    <r>
      <rPr>
        <rFont val="Trebuchet MS"/>
        <b/>
        <color theme="1"/>
        <sz val="10.0"/>
      </rPr>
      <t xml:space="preserve">Importe Unitario
</t>
    </r>
    <r>
      <rPr>
        <rFont val="Trebuchet MS"/>
        <b val="0"/>
        <i/>
        <color theme="1"/>
        <sz val="8.0"/>
      </rPr>
      <t>(moneda nacional)</t>
    </r>
  </si>
  <si>
    <r>
      <rPr>
        <rFont val="Trebuchet MS"/>
        <b/>
        <color theme="1"/>
        <sz val="10.0"/>
        <u/>
      </rPr>
      <t>Importe Total</t>
    </r>
    <r>
      <rPr>
        <rFont val="Trebuchet MS"/>
        <b/>
        <color theme="1"/>
        <sz val="10.0"/>
        <u/>
      </rPr>
      <t xml:space="preserve">
 IVA incluido
</t>
    </r>
    <r>
      <rPr>
        <rFont val="Trebuchet MS"/>
        <b val="0"/>
        <i/>
        <color theme="1"/>
        <sz val="8.0"/>
        <u/>
      </rPr>
      <t>(moneda nacional)</t>
    </r>
  </si>
  <si>
    <r>
      <rPr>
        <rFont val="Arial"/>
        <b/>
        <color theme="1"/>
        <sz val="10.0"/>
      </rPr>
      <t xml:space="preserve">Importe Total
</t>
    </r>
    <r>
      <rPr>
        <rFont val="Arial"/>
        <b val="0"/>
        <i/>
        <color theme="1"/>
        <sz val="8.0"/>
      </rPr>
      <t>(moneda extranjera)</t>
    </r>
  </si>
  <si>
    <r>
      <rPr>
        <rFont val="Trebuchet MS"/>
        <b/>
        <color theme="1"/>
        <sz val="10.0"/>
      </rPr>
      <t xml:space="preserve">Forma de Pago 
</t>
    </r>
    <r>
      <rPr>
        <rFont val="Trebuchet MS"/>
        <b val="0"/>
        <i/>
        <color theme="1"/>
        <sz val="8.0"/>
      </rPr>
      <t>(Contado o Cheque)</t>
    </r>
  </si>
  <si>
    <r>
      <rPr>
        <rFont val="Trebuchet MS"/>
        <b/>
        <color theme="1"/>
        <sz val="10.0"/>
      </rPr>
      <t xml:space="preserve">Observaciones </t>
    </r>
    <r>
      <rPr>
        <rFont val="Trebuchet MS"/>
        <b val="0"/>
        <i/>
        <color theme="1"/>
        <sz val="10.0"/>
      </rPr>
      <t xml:space="preserve">
</t>
    </r>
    <r>
      <rPr>
        <rFont val="Trebuchet MS"/>
        <b val="0"/>
        <i/>
        <color theme="1"/>
        <sz val="8.0"/>
      </rPr>
      <t>(se debe incluir toda aquella característica que no ha sido posible incluir anteriormente)</t>
    </r>
  </si>
  <si>
    <t>https://tulicencias.com/product/windows-11-pro/?currency=COP&amp;utm_id=22950947926&amp;utm_source=google&amp;utm_medium=cpc&amp;utm_device=c&amp;gad_source=1&amp;gad_campaignid=22950947926&amp;gbraid=0AAAAA9_hf_BtBoJ_W_HOV9cvqzZMsNo9Q&amp;gclid=CjwKCAiAwqHIBhAEEiwAx9cTeRH0wwHIMY_lzhtRXliT-10HZtZoqaWMlZ71JP_CVfyHr4Xm9_vk1hoCYP4QAvD_BwE</t>
  </si>
  <si>
    <t xml:space="preserve">Licencia Windows 11 Pro ESD Vitalicia
</t>
  </si>
  <si>
    <t>Licencia de por vida para 1 PC</t>
  </si>
  <si>
    <t>ENEBA</t>
  </si>
  <si>
    <t>https://www.eneba.com/es/microsoft-windows-microsoft-windows-11-oem-home-key-global/digital-imperium?product=digital&amp;currency=COP&amp;utm_adid=&amp;utm_campaign=&amp;utm_content=&amp;utm_source=google-ads&amp;utm_term=&amp;gad_source=1&amp;gad_campaignid=19499769054&amp;gbraid=0AAAAAC5HeFyMi8-C1CpuGcvrjjQYIm4Zk&amp;gclid=CjwKCAiAwqHIBhAEEiwAx9cTedC9tBsn5-8-qOxXxBZpQFWP7bI8sPtcmas-BfDGbkZK_E0PLK4AKRoCi1wQAvD_BwE</t>
  </si>
  <si>
    <t>Windows 11 OEM Home GLOBAL</t>
  </si>
  <si>
    <t>licenciaspccl</t>
  </si>
  <si>
    <t>https://licenciaspccl.net/product/paquete-windows-11-pro-microsoft-office-2021-professional-plus/?utm_source=Google%20Shopping&amp;utm_campaign=USD&amp;utm_medium=cpc&amp;utm_term=1310&amp;gad_source=4&amp;gad_campaignid=22962619869&amp;gbraid=0AAAAA-acnc7QOtQRCYuYT7_q98pRJvZyU&amp;gclid=CjwKCAiAwqHIBhAEEiwAx9cTeS9hcaobEL8Kl2F5u0qxT91cjCpCsvy0scXuShy4K2OZ_HkQtai0wRoCgPwQAvD_BwE</t>
  </si>
  <si>
    <r>
      <rPr>
        <rFont val="Arial"/>
        <b/>
        <color theme="1"/>
        <sz val="10.0"/>
      </rPr>
      <t xml:space="preserve">(a) Se deben presentar tres (3) presupuestos cuando:   
   </t>
    </r>
    <r>
      <rPr>
        <rFont val="Arial"/>
        <b val="0"/>
        <color theme="1"/>
        <sz val="10.0"/>
      </rPr>
      <t>El valor del gasto supere el monto de pesos un mil ($ 1.000,00). 
     Se pueden presentar al menos tres (3)</t>
    </r>
    <r>
      <rPr>
        <rFont val="Arial"/>
        <b val="0"/>
        <color theme="1"/>
        <sz val="10.0"/>
      </rPr>
      <t xml:space="preserve"> solicitudes de cotización (del bien o servicio a contratar) cursadas</t>
    </r>
    <r>
      <rPr>
        <rFont val="Arial"/>
        <b val="0"/>
        <color theme="1"/>
        <sz val="10.0"/>
      </rPr>
      <t xml:space="preserve"> a tres o más empresas oferentes.
     L</t>
    </r>
    <r>
      <rPr>
        <rFont val="Arial"/>
        <b val="0"/>
        <color theme="1"/>
        <sz val="10.0"/>
      </rPr>
      <t xml:space="preserve">a selección del proveedor se hará con el criterio del más bajo precio.
     </t>
    </r>
    <r>
      <rPr>
        <rFont val="Arial"/>
        <b/>
        <color theme="1"/>
        <sz val="10.0"/>
      </rPr>
      <t>En caso de no contar con tres (3) presupuestos, o no poder seleccionar al proveedor que ofrece menor precio, presentar este cuadro una nota de justificación siguiendo las pautas del ítem    (XX)</t>
    </r>
    <r>
      <rPr>
        <rFont val="Arial"/>
        <b val="0"/>
        <color theme="1"/>
        <sz val="10.0"/>
      </rPr>
      <t xml:space="preserve">
</t>
    </r>
  </si>
  <si>
    <r>
      <rPr>
        <rFont val="Arial"/>
        <b/>
        <color theme="1"/>
        <sz val="10.0"/>
      </rPr>
      <t>(b) Ejemplos:</t>
    </r>
    <r>
      <rPr>
        <rFont val="Arial"/>
        <b val="0"/>
        <color theme="1"/>
        <sz val="10.0"/>
      </rPr>
      <t xml:space="preserve">
        En el caso de viajes, indicar Origen/Destino (si corresponde también escalas)
        Si se tratara de servicios tipo catering, indicar las cantidades de asistentes, así como los días en que se demanda la prestación del servicio.
        Si fuera papelería indicar, cantidades de afiches, trípticos, etc.</t>
    </r>
  </si>
  <si>
    <r>
      <rPr>
        <rFont val="Trebuchet MS"/>
        <b/>
        <color theme="1"/>
        <sz val="10.0"/>
      </rPr>
      <t>Empresa</t>
    </r>
    <r>
      <rPr>
        <rFont val="Trebuchet MS"/>
        <b val="0"/>
        <i/>
        <color theme="1"/>
        <sz val="8.0"/>
      </rPr>
      <t xml:space="preserve">
(Nombre fiscal de la empresa)</t>
    </r>
  </si>
  <si>
    <r>
      <rPr>
        <rFont val="Trebuchet MS"/>
        <b/>
        <color theme="1"/>
        <sz val="10.0"/>
      </rPr>
      <t>Nº de CUIT, Dirección, Teléfono</t>
    </r>
    <r>
      <rPr>
        <rFont val="Trebuchet MS"/>
        <b val="0"/>
        <i/>
        <color theme="1"/>
        <sz val="10.0"/>
      </rPr>
      <t xml:space="preserve">
</t>
    </r>
    <r>
      <rPr>
        <rFont val="Trebuchet MS"/>
        <b val="0"/>
        <i/>
        <color theme="1"/>
        <sz val="8.0"/>
      </rPr>
      <t>(Datos de la empresa)</t>
    </r>
  </si>
  <si>
    <r>
      <rPr>
        <rFont val="Trebuchet MS"/>
        <b/>
        <color theme="1"/>
        <sz val="10.0"/>
      </rPr>
      <t>Descripción del
bien/ servicio (b)</t>
    </r>
    <r>
      <rPr>
        <rFont val="Trebuchet MS"/>
        <b val="0"/>
        <i/>
        <color theme="1"/>
        <sz val="10.0"/>
      </rPr>
      <t xml:space="preserve">
</t>
    </r>
    <r>
      <rPr>
        <rFont val="Trebuchet MS"/>
        <b val="0"/>
        <i/>
        <color theme="1"/>
        <sz val="8.0"/>
      </rPr>
      <t>Características de los bienes/ servicios</t>
    </r>
  </si>
  <si>
    <r>
      <rPr>
        <rFont val="Trebuchet MS"/>
        <b/>
        <color theme="1"/>
        <sz val="10.0"/>
      </rPr>
      <t xml:space="preserve">Importe Unitario
</t>
    </r>
    <r>
      <rPr>
        <rFont val="Trebuchet MS"/>
        <b val="0"/>
        <i/>
        <color theme="1"/>
        <sz val="8.0"/>
      </rPr>
      <t>(moneda nacional)</t>
    </r>
  </si>
  <si>
    <r>
      <rPr>
        <rFont val="Trebuchet MS"/>
        <b/>
        <color theme="1"/>
        <sz val="10.0"/>
        <u/>
      </rPr>
      <t>Importe Total</t>
    </r>
    <r>
      <rPr>
        <rFont val="Trebuchet MS"/>
        <b/>
        <color theme="1"/>
        <sz val="10.0"/>
        <u/>
      </rPr>
      <t xml:space="preserve">
 IVA incluido
</t>
    </r>
    <r>
      <rPr>
        <rFont val="Trebuchet MS"/>
        <b val="0"/>
        <i/>
        <color theme="1"/>
        <sz val="8.0"/>
        <u/>
      </rPr>
      <t>(moneda nacional)</t>
    </r>
  </si>
  <si>
    <r>
      <rPr>
        <rFont val="Arial"/>
        <b/>
        <color theme="1"/>
        <sz val="10.0"/>
      </rPr>
      <t xml:space="preserve">Importe Total
</t>
    </r>
    <r>
      <rPr>
        <rFont val="Arial"/>
        <b val="0"/>
        <i/>
        <color theme="1"/>
        <sz val="8.0"/>
      </rPr>
      <t>(moneda extranjera)</t>
    </r>
  </si>
  <si>
    <r>
      <rPr>
        <rFont val="Trebuchet MS"/>
        <b/>
        <color theme="1"/>
        <sz val="10.0"/>
      </rPr>
      <t xml:space="preserve">Forma de Pago 
</t>
    </r>
    <r>
      <rPr>
        <rFont val="Trebuchet MS"/>
        <b val="0"/>
        <i/>
        <color theme="1"/>
        <sz val="8.0"/>
      </rPr>
      <t>(Contado o Cheque)</t>
    </r>
  </si>
  <si>
    <r>
      <rPr>
        <rFont val="Trebuchet MS"/>
        <b/>
        <color theme="1"/>
        <sz val="10.0"/>
      </rPr>
      <t xml:space="preserve">Observaciones </t>
    </r>
    <r>
      <rPr>
        <rFont val="Trebuchet MS"/>
        <b val="0"/>
        <i/>
        <color theme="1"/>
        <sz val="10.0"/>
      </rPr>
      <t xml:space="preserve">
</t>
    </r>
    <r>
      <rPr>
        <rFont val="Trebuchet MS"/>
        <b val="0"/>
        <i/>
        <color theme="1"/>
        <sz val="8.0"/>
      </rPr>
      <t>(se debe incluir toda aquella característica que no ha sido posible incluir anteriormente)</t>
    </r>
  </si>
  <si>
    <t>https://www.g2a.com/es/microsoft-sql-server-2022-standard-pc-microsoft-key-global-i10000505539001?___language=es&amp;er=1a66240df3f1d892ae5a758c232bf69a9b137b2fce36bcd73400868f8a7fe6952d24541e7cd658840a828a79ec970ee3&amp;uuid=a3efe557-68ce-4ff1-82ff-24f01f41913e&amp;adid=GA-CO_PEB_TP_CST_PMAX_FULL&amp;id=47&amp;utm_medium=cpc&amp;utm_source=google&amp;utm_campaign=GA-CO_PEB_TP_CST_PMAX_FULL&amp;utm_id=21519124221&amp;gclsrc=aw.ds&amp;gad_source=4&amp;gad_campaignid=21525321002&amp;gbraid=0AAAAADqf3lHG_YC6iKBkT5sPQ8rfvvNst&amp;gclid=CjwKCAiAwqHIBhAEEiwAx9cTeSWsk9MZAQ7A5BB8OS4yrU9TLOqsd_RtKHWUFrUgF1R0zxanl9o3dhoC4T4QAvD_BwE</t>
  </si>
  <si>
    <t>Microsoft SQL Server 2022 Standard (PC) - Microsoft Key - GLOBAL</t>
  </si>
  <si>
    <t>https://bodegadigital.biz/producto/licencia-sql-server-standard-2019/?srsltid=AfmBOopDDvn92o9Yja7C2ozrVl2Zyag2VVKER7g3rnIFff2Tv2usVksAExg</t>
  </si>
  <si>
    <t xml:space="preserve">Licencia SQL Server Standard 2019 </t>
  </si>
  <si>
    <t>Buhodigital</t>
  </si>
  <si>
    <t>https://buhodigitalcol.com/sql-server-2019/?gad_source=4&amp;gad_campaignid=22501703237&amp;gbraid=0AAAAAqHi9t8aNosOz3bNKy9jHTPZ6Bb6i&amp;gclid=CjwKCAiAwqHIBhAEEiwAx9cTecjQ7s0IS5U7RmrirdLJ5YtdhmRRQzBdKulXJKvkkVA5TOyH7NFX1hoCU44QAvD_BwE</t>
  </si>
  <si>
    <t>SQL Server 2019</t>
  </si>
  <si>
    <r>
      <rPr>
        <rFont val="Arial"/>
        <b/>
        <color theme="1"/>
        <sz val="10.0"/>
      </rPr>
      <t xml:space="preserve">(a) Se deben presentar tres (3) presupuestos cuando:   
   </t>
    </r>
    <r>
      <rPr>
        <rFont val="Arial"/>
        <b val="0"/>
        <color theme="1"/>
        <sz val="10.0"/>
      </rPr>
      <t>El valor del gasto supere el monto de pesos un mil ($ 1.000,00). 
     Se pueden presentar al menos tres (3)</t>
    </r>
    <r>
      <rPr>
        <rFont val="Arial"/>
        <b val="0"/>
        <color theme="1"/>
        <sz val="10.0"/>
      </rPr>
      <t xml:space="preserve"> solicitudes de cotización (del bien o servicio a contratar) cursadas</t>
    </r>
    <r>
      <rPr>
        <rFont val="Arial"/>
        <b val="0"/>
        <color theme="1"/>
        <sz val="10.0"/>
      </rPr>
      <t xml:space="preserve"> a tres o más empresas oferentes.
     L</t>
    </r>
    <r>
      <rPr>
        <rFont val="Arial"/>
        <b val="0"/>
        <color theme="1"/>
        <sz val="10.0"/>
      </rPr>
      <t xml:space="preserve">a selección del proveedor se hará con el criterio del más bajo precio.
     </t>
    </r>
    <r>
      <rPr>
        <rFont val="Arial"/>
        <b/>
        <color theme="1"/>
        <sz val="10.0"/>
      </rPr>
      <t>En caso de no contar con tres (3) presupuestos, o no poder seleccionar al proveedor que ofrece menor precio, presentar este cuadro una nota de justificación siguiendo las pautas del ítem    (XX)</t>
    </r>
    <r>
      <rPr>
        <rFont val="Arial"/>
        <b val="0"/>
        <color theme="1"/>
        <sz val="10.0"/>
      </rPr>
      <t xml:space="preserve">
</t>
    </r>
  </si>
  <si>
    <r>
      <rPr>
        <rFont val="Arial"/>
        <b/>
        <color theme="1"/>
        <sz val="10.0"/>
      </rPr>
      <t>(b) Ejemplos:</t>
    </r>
    <r>
      <rPr>
        <rFont val="Arial"/>
        <b val="0"/>
        <color theme="1"/>
        <sz val="10.0"/>
      </rPr>
      <t xml:space="preserve">
        En el caso de viajes, indicar Origen/Destino (si corresponde también escalas)
        Si se tratara de servicios tipo catering, indicar las cantidades de asistentes, así como los días en que se demanda la prestación del servicio.
        Si fuera papelería indicar, cantidades de afiches, trípticos, etc.</t>
    </r>
  </si>
</sst>
</file>

<file path=xl/styles.xml><?xml version="1.0" encoding="utf-8"?>
<styleSheet xmlns="http://schemas.openxmlformats.org/spreadsheetml/2006/main" xmlns:x14ac="http://schemas.microsoft.com/office/spreadsheetml/2009/9/ac" xmlns:mc="http://schemas.openxmlformats.org/markup-compatibility/2006">
  <numFmts count="7">
    <numFmt numFmtId="164" formatCode="_-[$$-240A]\ * #,##0.00_-;\-[$$-240A]\ * #,##0.00_-;_-[$$-240A]\ * &quot;-&quot;??_-;_-@"/>
    <numFmt numFmtId="165" formatCode="_([$$-409]* #,##0.00_);_([$$-409]* \(#,##0.00\);_([$$-409]* &quot;-&quot;??_);_(@_)"/>
    <numFmt numFmtId="166" formatCode="_-[$$-409]* #,##0.00_ ;_-[$$-409]* \-#,##0.00\ ;_-[$$-409]* &quot;-&quot;??_ ;_-@_ "/>
    <numFmt numFmtId="167" formatCode="&quot;$&quot;#,##0.00_);[Red]\(&quot;$&quot;#,##0.00\)"/>
    <numFmt numFmtId="168" formatCode="&quot;$&quot;#,##0_);[Red]\(&quot;$&quot;#,##0\)"/>
    <numFmt numFmtId="169" formatCode="_(&quot;$&quot;* #,##0.00_);_(&quot;$&quot;* \(#,##0.00\);_(&quot;$&quot;* &quot;-&quot;??_);_(@_)"/>
    <numFmt numFmtId="170" formatCode="_-* #,##0.00_-;\-* #,##0.00_-;_-* &quot;-&quot;??_-;_-@"/>
  </numFmts>
  <fonts count="56">
    <font>
      <sz val="10.0"/>
      <color rgb="FF000000"/>
      <name val="Arial"/>
      <scheme val="minor"/>
    </font>
    <font>
      <sz val="10.0"/>
      <color theme="1"/>
      <name val="Arial"/>
    </font>
    <font>
      <b/>
      <sz val="12.0"/>
      <color theme="1"/>
      <name val="Arial"/>
    </font>
    <font/>
    <font>
      <b/>
      <sz val="10.0"/>
      <color theme="1"/>
      <name val="Arial"/>
    </font>
    <font>
      <b/>
      <sz val="10.0"/>
      <color theme="1"/>
      <name val="Trebuchet MS"/>
    </font>
    <font>
      <b/>
      <u/>
      <sz val="10.0"/>
      <color theme="1"/>
      <name val="Trebuchet MS"/>
    </font>
    <font>
      <i/>
      <sz val="10.0"/>
      <color theme="1"/>
      <name val="Arial"/>
    </font>
    <font>
      <sz val="10.0"/>
      <color rgb="FF000000"/>
      <name val="Trebuchet MS"/>
    </font>
    <font>
      <u/>
      <sz val="10.0"/>
      <color rgb="FF0000FF"/>
      <name val="Arial"/>
    </font>
    <font>
      <sz val="10.0"/>
      <color rgb="FF000000"/>
      <name val="Arial"/>
    </font>
    <font>
      <u/>
      <sz val="10.0"/>
      <color rgb="FF000000"/>
      <name val="Trebuchet MS"/>
    </font>
    <font>
      <sz val="10.0"/>
      <color theme="1"/>
      <name val="Trebuchet MS"/>
    </font>
    <font>
      <sz val="10.0"/>
      <color theme="1"/>
      <name val="Proxima Nova"/>
    </font>
    <font>
      <sz val="10.0"/>
      <color rgb="FF231F20"/>
      <name val="Trebuchet MS"/>
    </font>
    <font>
      <sz val="10.0"/>
      <color rgb="FF3C4B71"/>
      <name val="Arial"/>
    </font>
    <font>
      <sz val="10.0"/>
      <color theme="1"/>
      <name val="Open Sans"/>
    </font>
    <font>
      <sz val="10.0"/>
      <color rgb="FF222222"/>
      <name val="Arial"/>
    </font>
    <font>
      <sz val="10.0"/>
      <color theme="1"/>
      <name val="Montserrat"/>
    </font>
    <font>
      <sz val="10.0"/>
      <color theme="1"/>
      <name val="Arial Narrow"/>
    </font>
    <font>
      <b/>
      <u/>
      <sz val="10.0"/>
      <color theme="1"/>
      <name val="Arial"/>
    </font>
    <font>
      <u/>
      <sz val="10.0"/>
      <color rgb="FF0000FF"/>
      <name val="Arial"/>
    </font>
    <font>
      <u/>
      <sz val="10.0"/>
      <color rgb="FF000000"/>
      <name val="Arial"/>
    </font>
    <font>
      <sz val="10.0"/>
      <color rgb="FF0000FF"/>
      <name val="Arial"/>
    </font>
    <font>
      <sz val="10.0"/>
      <color rgb="FF444444"/>
      <name val="Arial"/>
    </font>
    <font>
      <b/>
      <u/>
      <sz val="10.0"/>
      <color theme="1"/>
      <name val="Trebuchet MS"/>
    </font>
    <font>
      <sz val="10.0"/>
      <color rgb="FF231F20"/>
      <name val="Arial"/>
    </font>
    <font>
      <sz val="10.0"/>
      <color rgb="FF333333"/>
      <name val="Arial"/>
    </font>
    <font>
      <u/>
      <sz val="10.0"/>
      <color rgb="FF0000FF"/>
      <name val="Arial"/>
    </font>
    <font>
      <u/>
      <sz val="10.0"/>
      <color rgb="FF000000"/>
      <name val="Arial"/>
    </font>
    <font>
      <sz val="10.0"/>
      <color rgb="FF666666"/>
      <name val="Arial"/>
    </font>
    <font>
      <b/>
      <sz val="10.0"/>
      <color rgb="FF333E48"/>
      <name val="Arial"/>
    </font>
    <font>
      <sz val="10.0"/>
      <color rgb="FF333E48"/>
      <name val="Arial"/>
    </font>
    <font>
      <u/>
      <sz val="10.0"/>
      <color theme="10"/>
      <name val="Arial"/>
    </font>
    <font>
      <sz val="10.0"/>
      <color rgb="FF4A4A4A"/>
      <name val="Arial"/>
    </font>
    <font>
      <u/>
      <sz val="10.0"/>
      <color rgb="FF000000"/>
      <name val="Arial"/>
    </font>
    <font>
      <u/>
      <sz val="10.0"/>
      <color rgb="FF000000"/>
      <name val="Arial"/>
    </font>
    <font>
      <sz val="10.0"/>
      <color rgb="FF0F1111"/>
      <name val="Arial"/>
    </font>
    <font>
      <u/>
      <sz val="10.0"/>
      <color theme="10"/>
      <name val="Arial"/>
    </font>
    <font>
      <color theme="1"/>
      <name val="Arial"/>
    </font>
    <font>
      <u/>
      <sz val="10.0"/>
      <color rgb="FF0000FF"/>
      <name val="Arial"/>
    </font>
    <font>
      <u/>
      <sz val="10.0"/>
      <color theme="1"/>
      <name val="Arial"/>
    </font>
    <font>
      <u/>
      <sz val="10.0"/>
      <color theme="1"/>
      <name val="Arial"/>
    </font>
    <font>
      <u/>
      <sz val="10.0"/>
      <color theme="1"/>
      <name val="Arial"/>
    </font>
    <font>
      <color theme="1"/>
      <name val="Arial"/>
      <scheme val="minor"/>
    </font>
    <font>
      <u/>
      <sz val="10.0"/>
      <color rgb="FF0000FF"/>
      <name val="Arial"/>
    </font>
    <font>
      <u/>
      <sz val="10.0"/>
      <color theme="1"/>
      <name val="Arial"/>
    </font>
    <font>
      <sz val="9.0"/>
      <color theme="1"/>
      <name val="Arial"/>
    </font>
    <font>
      <u/>
      <sz val="9.0"/>
      <color theme="1"/>
      <name val="Arial"/>
    </font>
    <font>
      <u/>
      <sz val="10.0"/>
      <color theme="1"/>
      <name val="Arial"/>
    </font>
    <font>
      <u/>
      <sz val="10.0"/>
      <color theme="1"/>
      <name val="Arial"/>
    </font>
    <font>
      <sz val="11.0"/>
      <color rgb="FF444444"/>
      <name val="Arial"/>
    </font>
    <font>
      <u/>
      <sz val="10.0"/>
      <color theme="1"/>
      <name val="Arial"/>
    </font>
    <font>
      <u/>
      <sz val="10.0"/>
      <color rgb="FF0000FF"/>
      <name val="Arial"/>
    </font>
    <font>
      <u/>
      <sz val="10.0"/>
      <color theme="1"/>
      <name val="Arial"/>
    </font>
    <font>
      <u/>
      <sz val="10.0"/>
      <color theme="1"/>
      <name val="Arial"/>
    </font>
  </fonts>
  <fills count="11">
    <fill>
      <patternFill patternType="none"/>
    </fill>
    <fill>
      <patternFill patternType="lightGray"/>
    </fill>
    <fill>
      <patternFill patternType="solid">
        <fgColor rgb="FFC0C0C0"/>
        <bgColor rgb="FFC0C0C0"/>
      </patternFill>
    </fill>
    <fill>
      <patternFill patternType="solid">
        <fgColor rgb="FFFFFF99"/>
        <bgColor rgb="FFFFFF99"/>
      </patternFill>
    </fill>
    <fill>
      <patternFill patternType="solid">
        <fgColor rgb="FFFFCC00"/>
        <bgColor rgb="FFFFCC00"/>
      </patternFill>
    </fill>
    <fill>
      <patternFill patternType="solid">
        <fgColor rgb="FFCCFFCC"/>
        <bgColor rgb="FFCCFFCC"/>
      </patternFill>
    </fill>
    <fill>
      <patternFill patternType="solid">
        <fgColor rgb="FF00FF00"/>
        <bgColor rgb="FF00FF00"/>
      </patternFill>
    </fill>
    <fill>
      <patternFill patternType="solid">
        <fgColor rgb="FFFFFFFF"/>
        <bgColor rgb="FFFFFFFF"/>
      </patternFill>
    </fill>
    <fill>
      <patternFill patternType="solid">
        <fgColor rgb="FFF5F5F5"/>
        <bgColor rgb="FFF5F5F5"/>
      </patternFill>
    </fill>
    <fill>
      <patternFill patternType="solid">
        <fgColor rgb="FFEFEFEF"/>
        <bgColor rgb="FFEFEFEF"/>
      </patternFill>
    </fill>
    <fill>
      <patternFill patternType="solid">
        <fgColor rgb="FFF8F8F8"/>
        <bgColor rgb="FFF8F8F8"/>
      </patternFill>
    </fill>
  </fills>
  <borders count="11">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left style="thin">
        <color rgb="FF000000"/>
      </left>
      <right/>
      <top style="thin">
        <color rgb="FF000000"/>
      </top>
      <bottom style="thin">
        <color rgb="FF000000"/>
      </bottom>
    </border>
    <border>
      <left/>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right style="thin">
        <color rgb="FF000000"/>
      </right>
      <top style="thin">
        <color rgb="FF000000"/>
      </top>
      <bottom/>
    </border>
    <border>
      <left style="thin">
        <color rgb="FF000000"/>
      </left>
      <right/>
      <top style="thin">
        <color rgb="FF000000"/>
      </top>
      <bottom/>
    </border>
    <border>
      <left style="thin">
        <color rgb="FF000000"/>
      </left>
      <right style="thin">
        <color rgb="FF000000"/>
      </right>
      <bottom style="thin">
        <color rgb="FF000000"/>
      </bottom>
    </border>
  </borders>
  <cellStyleXfs count="1">
    <xf borderId="0" fillId="0" fontId="0" numFmtId="0" applyAlignment="1" applyFont="1"/>
  </cellStyleXfs>
  <cellXfs count="155">
    <xf borderId="0" fillId="0" fontId="0" numFmtId="0" xfId="0" applyAlignment="1" applyFont="1">
      <alignment readingOrder="0" shrinkToFit="0" vertical="bottom" wrapText="0"/>
    </xf>
    <xf borderId="0" fillId="0" fontId="1" numFmtId="0" xfId="0" applyAlignment="1" applyFont="1">
      <alignment readingOrder="0"/>
    </xf>
    <xf borderId="0" fillId="0" fontId="2" numFmtId="0" xfId="0" applyAlignment="1" applyFont="1">
      <alignment horizontal="center" vertical="center"/>
    </xf>
    <xf borderId="1" fillId="2" fontId="2" numFmtId="0" xfId="0" applyAlignment="1" applyBorder="1" applyFill="1" applyFont="1">
      <alignment horizontal="center" shrinkToFit="0" vertical="center" wrapText="1"/>
    </xf>
    <xf borderId="2" fillId="0" fontId="3" numFmtId="0" xfId="0" applyBorder="1" applyFont="1"/>
    <xf borderId="3" fillId="0" fontId="3" numFmtId="0" xfId="0" applyBorder="1" applyFont="1"/>
    <xf borderId="4" fillId="3" fontId="4" numFmtId="0" xfId="0" applyAlignment="1" applyBorder="1" applyFill="1" applyFont="1">
      <alignment horizontal="center" shrinkToFit="0" vertical="center" wrapText="1"/>
    </xf>
    <xf borderId="4" fillId="0" fontId="5" numFmtId="0" xfId="0" applyAlignment="1" applyBorder="1" applyFont="1">
      <alignment horizontal="center" shrinkToFit="0" vertical="center" wrapText="1"/>
    </xf>
    <xf borderId="4" fillId="4" fontId="6" numFmtId="0" xfId="0" applyAlignment="1" applyBorder="1" applyFill="1" applyFont="1">
      <alignment horizontal="center" shrinkToFit="0" vertical="center" wrapText="1"/>
    </xf>
    <xf borderId="5" fillId="5" fontId="4" numFmtId="0" xfId="0" applyAlignment="1" applyBorder="1" applyFill="1" applyFont="1">
      <alignment horizontal="center" shrinkToFit="0" vertical="center" wrapText="1"/>
    </xf>
    <xf borderId="0" fillId="0" fontId="7" numFmtId="0" xfId="0" applyAlignment="1" applyFont="1">
      <alignment horizontal="center" vertical="center"/>
    </xf>
    <xf borderId="4" fillId="0" fontId="4" numFmtId="0" xfId="0" applyAlignment="1" applyBorder="1" applyFont="1">
      <alignment horizontal="center" vertical="center"/>
    </xf>
    <xf borderId="4" fillId="0" fontId="8" numFmtId="0" xfId="0" applyAlignment="1" applyBorder="1" applyFont="1">
      <alignment horizontal="center" readingOrder="0" shrinkToFit="0" vertical="center" wrapText="1"/>
    </xf>
    <xf borderId="4" fillId="0" fontId="9" numFmtId="0" xfId="0" applyAlignment="1" applyBorder="1" applyFont="1">
      <alignment horizontal="center" readingOrder="0" shrinkToFit="0" vertical="center" wrapText="1"/>
    </xf>
    <xf borderId="4" fillId="6" fontId="10" numFmtId="0" xfId="0" applyAlignment="1" applyBorder="1" applyFill="1" applyFont="1">
      <alignment horizontal="center" readingOrder="0" shrinkToFit="0" vertical="center" wrapText="1"/>
    </xf>
    <xf borderId="4" fillId="0" fontId="8" numFmtId="164" xfId="0" applyAlignment="1" applyBorder="1" applyFont="1" applyNumberFormat="1">
      <alignment horizontal="center" readingOrder="0" shrinkToFit="0" vertical="center" wrapText="1"/>
    </xf>
    <xf borderId="4" fillId="0" fontId="8" numFmtId="165" xfId="0" applyAlignment="1" applyBorder="1" applyFont="1" applyNumberFormat="1">
      <alignment horizontal="center" readingOrder="0" shrinkToFit="0" vertical="center" wrapText="1"/>
    </xf>
    <xf borderId="4" fillId="0" fontId="11" numFmtId="166" xfId="0" applyAlignment="1" applyBorder="1" applyFont="1" applyNumberFormat="1">
      <alignment horizontal="center" readingOrder="0" shrinkToFit="0" vertical="center" wrapText="1"/>
    </xf>
    <xf borderId="4" fillId="0" fontId="12" numFmtId="0" xfId="0" applyAlignment="1" applyBorder="1" applyFont="1">
      <alignment horizontal="center" shrinkToFit="0" vertical="top" wrapText="1"/>
    </xf>
    <xf borderId="6" fillId="7" fontId="13" numFmtId="0" xfId="0" applyAlignment="1" applyBorder="1" applyFill="1" applyFont="1">
      <alignment horizontal="center" readingOrder="0" shrinkToFit="0" vertical="center" wrapText="1"/>
    </xf>
    <xf borderId="4" fillId="0" fontId="14" numFmtId="0" xfId="0" applyAlignment="1" applyBorder="1" applyFont="1">
      <alignment horizontal="center" readingOrder="0" shrinkToFit="0" vertical="center" wrapText="1"/>
    </xf>
    <xf borderId="4" fillId="7" fontId="15" numFmtId="0" xfId="0" applyAlignment="1" applyBorder="1" applyFont="1">
      <alignment horizontal="center" readingOrder="0" shrinkToFit="0" vertical="center" wrapText="1"/>
    </xf>
    <xf borderId="6" fillId="7" fontId="16" numFmtId="0" xfId="0" applyAlignment="1" applyBorder="1" applyFont="1">
      <alignment horizontal="center" readingOrder="0" shrinkToFit="0" vertical="center" wrapText="1"/>
    </xf>
    <xf borderId="4" fillId="7" fontId="17" numFmtId="0" xfId="0" applyAlignment="1" applyBorder="1" applyFont="1">
      <alignment horizontal="center" readingOrder="0" shrinkToFit="0" vertical="center" wrapText="1"/>
    </xf>
    <xf borderId="6" fillId="7" fontId="18" numFmtId="0" xfId="0" applyAlignment="1" applyBorder="1" applyFont="1">
      <alignment horizontal="center" readingOrder="0" shrinkToFit="0" vertical="center" wrapText="1"/>
    </xf>
    <xf borderId="4" fillId="0" fontId="1" numFmtId="0" xfId="0" applyBorder="1" applyFont="1"/>
    <xf borderId="4" fillId="0" fontId="12" numFmtId="0" xfId="0" applyAlignment="1" applyBorder="1" applyFont="1">
      <alignment horizontal="left" shrinkToFit="0" vertical="top" wrapText="1"/>
    </xf>
    <xf borderId="1" fillId="0" fontId="4" numFmtId="0" xfId="0" applyAlignment="1" applyBorder="1" applyFont="1">
      <alignment horizontal="left" shrinkToFit="0" vertical="center" wrapText="1"/>
    </xf>
    <xf borderId="0" fillId="0" fontId="19" numFmtId="0" xfId="0" applyAlignment="1" applyFont="1">
      <alignment horizontal="center" shrinkToFit="0" vertical="center" wrapText="1"/>
    </xf>
    <xf borderId="0" fillId="0" fontId="1" numFmtId="0" xfId="0" applyFont="1"/>
    <xf borderId="4" fillId="0" fontId="4" numFmtId="0" xfId="0" applyAlignment="1" applyBorder="1" applyFont="1">
      <alignment horizontal="center" shrinkToFit="0" vertical="center" wrapText="1"/>
    </xf>
    <xf borderId="4" fillId="4" fontId="20" numFmtId="0" xfId="0" applyAlignment="1" applyBorder="1" applyFont="1">
      <alignment horizontal="center" shrinkToFit="0" vertical="center" wrapText="1"/>
    </xf>
    <xf borderId="1" fillId="0" fontId="10" numFmtId="0" xfId="0" applyAlignment="1" applyBorder="1" applyFont="1">
      <alignment horizontal="center" readingOrder="0" shrinkToFit="0" vertical="center" wrapText="1"/>
    </xf>
    <xf borderId="7" fillId="0" fontId="21" numFmtId="0" xfId="0" applyAlignment="1" applyBorder="1" applyFont="1">
      <alignment readingOrder="0" shrinkToFit="0" vertical="center" wrapText="1"/>
    </xf>
    <xf borderId="4" fillId="0" fontId="10" numFmtId="0" xfId="0" applyAlignment="1" applyBorder="1" applyFont="1">
      <alignment horizontal="center" readingOrder="0" shrinkToFit="0" vertical="center" wrapText="1"/>
    </xf>
    <xf borderId="4" fillId="0" fontId="10" numFmtId="167" xfId="0" applyAlignment="1" applyBorder="1" applyFont="1" applyNumberFormat="1">
      <alignment horizontal="center" readingOrder="0" shrinkToFit="0" vertical="center" wrapText="1"/>
    </xf>
    <xf borderId="4" fillId="0" fontId="10" numFmtId="167" xfId="0" applyAlignment="1" applyBorder="1" applyFont="1" applyNumberFormat="1">
      <alignment horizontal="center" shrinkToFit="0" vertical="center" wrapText="1"/>
    </xf>
    <xf borderId="4" fillId="0" fontId="1" numFmtId="165" xfId="0" applyAlignment="1" applyBorder="1" applyFont="1" applyNumberFormat="1">
      <alignment horizontal="center" readingOrder="0" shrinkToFit="0" vertical="top" wrapText="1"/>
    </xf>
    <xf borderId="4" fillId="7" fontId="22" numFmtId="166" xfId="0" applyAlignment="1" applyBorder="1" applyFont="1" applyNumberFormat="1">
      <alignment horizontal="center" readingOrder="0" shrinkToFit="0" vertical="center" wrapText="1"/>
    </xf>
    <xf borderId="4" fillId="0" fontId="10" numFmtId="0" xfId="0" applyAlignment="1" applyBorder="1" applyFont="1">
      <alignment horizontal="center" shrinkToFit="0" vertical="center" wrapText="1"/>
    </xf>
    <xf borderId="4" fillId="7" fontId="10" numFmtId="0" xfId="0" applyAlignment="1" applyBorder="1" applyFont="1">
      <alignment readingOrder="0" shrinkToFit="0" vertical="center" wrapText="1"/>
    </xf>
    <xf borderId="4" fillId="7" fontId="23" numFmtId="0" xfId="0" applyAlignment="1" applyBorder="1" applyFont="1">
      <alignment horizontal="center" readingOrder="0" shrinkToFit="0" vertical="center" wrapText="1"/>
    </xf>
    <xf borderId="6" fillId="6" fontId="24" numFmtId="0" xfId="0" applyAlignment="1" applyBorder="1" applyFont="1">
      <alignment horizontal="center" readingOrder="0" shrinkToFit="0" vertical="center" wrapText="1"/>
    </xf>
    <xf borderId="4" fillId="8" fontId="24" numFmtId="0" xfId="0" applyAlignment="1" applyBorder="1" applyFill="1" applyFont="1">
      <alignment readingOrder="0" shrinkToFit="0" vertical="center" wrapText="1"/>
    </xf>
    <xf borderId="4" fillId="0" fontId="23" numFmtId="0" xfId="0" applyAlignment="1" applyBorder="1" applyFont="1">
      <alignment horizontal="center" readingOrder="0" shrinkToFit="0" vertical="center" wrapText="1"/>
    </xf>
    <xf borderId="4" fillId="7" fontId="24" numFmtId="0" xfId="0" applyAlignment="1" applyBorder="1" applyFont="1">
      <alignment horizontal="center" readingOrder="0" shrinkToFit="0" vertical="center" wrapText="1"/>
    </xf>
    <xf borderId="4" fillId="0" fontId="10" numFmtId="168" xfId="0" applyAlignment="1" applyBorder="1" applyFont="1" applyNumberFormat="1">
      <alignment horizontal="center" readingOrder="0" shrinkToFit="0" vertical="center" wrapText="1"/>
    </xf>
    <xf borderId="8" fillId="3" fontId="4" numFmtId="0" xfId="0" applyAlignment="1" applyBorder="1" applyFont="1">
      <alignment horizontal="center" shrinkToFit="0" vertical="center" wrapText="1"/>
    </xf>
    <xf borderId="7" fillId="0" fontId="5" numFmtId="0" xfId="0" applyAlignment="1" applyBorder="1" applyFont="1">
      <alignment horizontal="center" shrinkToFit="0" vertical="center" wrapText="1"/>
    </xf>
    <xf borderId="8" fillId="4" fontId="25" numFmtId="0" xfId="0" applyAlignment="1" applyBorder="1" applyFont="1">
      <alignment horizontal="center" shrinkToFit="0" vertical="center" wrapText="1"/>
    </xf>
    <xf borderId="9" fillId="5" fontId="4" numFmtId="0" xfId="0" applyAlignment="1" applyBorder="1" applyFont="1">
      <alignment horizontal="center" shrinkToFit="0" vertical="center" wrapText="1"/>
    </xf>
    <xf borderId="4" fillId="7" fontId="10" numFmtId="0" xfId="0" applyAlignment="1" applyBorder="1" applyFont="1">
      <alignment horizontal="center" shrinkToFit="0" wrapText="1"/>
    </xf>
    <xf borderId="4" fillId="0" fontId="26" numFmtId="0" xfId="0" applyAlignment="1" applyBorder="1" applyFont="1">
      <alignment horizontal="center" readingOrder="0" shrinkToFit="0" vertical="center" wrapText="1"/>
    </xf>
    <xf borderId="4" fillId="7" fontId="27" numFmtId="0" xfId="0" applyAlignment="1" applyBorder="1" applyFont="1">
      <alignment horizontal="center" readingOrder="0" shrinkToFit="0" vertical="center" wrapText="1"/>
    </xf>
    <xf borderId="4" fillId="0" fontId="10" numFmtId="3" xfId="0" applyAlignment="1" applyBorder="1" applyFont="1" applyNumberFormat="1">
      <alignment horizontal="center" readingOrder="0" shrinkToFit="0" vertical="center" wrapText="1"/>
    </xf>
    <xf borderId="4" fillId="7" fontId="27" numFmtId="0" xfId="0" applyAlignment="1" applyBorder="1" applyFont="1">
      <alignment horizontal="center" readingOrder="0" shrinkToFit="0" wrapText="1"/>
    </xf>
    <xf borderId="7" fillId="0" fontId="10" numFmtId="0" xfId="0" applyAlignment="1" applyBorder="1" applyFont="1">
      <alignment horizontal="center" readingOrder="0" shrinkToFit="0" vertical="center" wrapText="1"/>
    </xf>
    <xf borderId="7" fillId="0" fontId="10" numFmtId="3" xfId="0" applyAlignment="1" applyBorder="1" applyFont="1" applyNumberFormat="1">
      <alignment horizontal="center" readingOrder="0" shrinkToFit="0" vertical="center" wrapText="1"/>
    </xf>
    <xf borderId="10" fillId="0" fontId="3" numFmtId="0" xfId="0" applyBorder="1" applyFont="1"/>
    <xf borderId="4" fillId="0" fontId="1" numFmtId="0" xfId="0" applyAlignment="1" applyBorder="1" applyFont="1">
      <alignment horizontal="left" shrinkToFit="0" vertical="top" wrapText="1"/>
    </xf>
    <xf borderId="1" fillId="0" fontId="4" numFmtId="0" xfId="0" applyAlignment="1" applyBorder="1" applyFont="1">
      <alignment horizontal="center" vertical="center"/>
    </xf>
    <xf borderId="4" fillId="0" fontId="28" numFmtId="0" xfId="0" applyAlignment="1" applyBorder="1" applyFont="1">
      <alignment horizontal="center" readingOrder="0" shrinkToFit="0" vertical="center" wrapText="1"/>
    </xf>
    <xf borderId="4" fillId="7" fontId="10" numFmtId="164" xfId="0" applyAlignment="1" applyBorder="1" applyFont="1" applyNumberFormat="1">
      <alignment horizontal="center" readingOrder="0" shrinkToFit="0" vertical="center" wrapText="1"/>
    </xf>
    <xf borderId="4" fillId="0" fontId="10" numFmtId="164" xfId="0" applyAlignment="1" applyBorder="1" applyFont="1" applyNumberFormat="1">
      <alignment horizontal="center" shrinkToFit="0" vertical="center" wrapText="1"/>
    </xf>
    <xf borderId="4" fillId="0" fontId="10" numFmtId="165" xfId="0" applyAlignment="1" applyBorder="1" applyFont="1" applyNumberFormat="1">
      <alignment horizontal="center" readingOrder="0" shrinkToFit="0" vertical="top" wrapText="1"/>
    </xf>
    <xf borderId="4" fillId="7" fontId="10" numFmtId="0" xfId="0" applyAlignment="1" applyBorder="1" applyFont="1">
      <alignment horizontal="center" readingOrder="0" shrinkToFit="0" vertical="center" wrapText="1"/>
    </xf>
    <xf borderId="4" fillId="6" fontId="24" numFmtId="0" xfId="0" applyAlignment="1" applyBorder="1" applyFont="1">
      <alignment horizontal="center" readingOrder="0" shrinkToFit="0" vertical="center" wrapText="1"/>
    </xf>
    <xf borderId="4" fillId="0" fontId="29" numFmtId="0" xfId="0" applyAlignment="1" applyBorder="1" applyFont="1">
      <alignment horizontal="center" readingOrder="0" shrinkToFit="0" vertical="center" wrapText="1"/>
    </xf>
    <xf borderId="4" fillId="0" fontId="10" numFmtId="164" xfId="0" applyAlignment="1" applyBorder="1" applyFont="1" applyNumberFormat="1">
      <alignment horizontal="center" readingOrder="0" shrinkToFit="0" vertical="center" wrapText="1"/>
    </xf>
    <xf borderId="10" fillId="0" fontId="12" numFmtId="0" xfId="0" applyAlignment="1" applyBorder="1" applyFont="1">
      <alignment horizontal="left" shrinkToFit="0" vertical="top" wrapText="1"/>
    </xf>
    <xf borderId="9" fillId="5" fontId="4" numFmtId="165" xfId="0" applyAlignment="1" applyBorder="1" applyFont="1" applyNumberFormat="1">
      <alignment horizontal="center" shrinkToFit="0" vertical="center" wrapText="1"/>
    </xf>
    <xf borderId="4" fillId="7" fontId="30" numFmtId="0" xfId="0" applyAlignment="1" applyBorder="1" applyFont="1">
      <alignment horizontal="center" readingOrder="0" shrinkToFit="0" vertical="center" wrapText="1"/>
    </xf>
    <xf borderId="4" fillId="0" fontId="26" numFmtId="0" xfId="0" applyAlignment="1" applyBorder="1" applyFont="1">
      <alignment horizontal="center" shrinkToFit="0" vertical="center" wrapText="1"/>
    </xf>
    <xf borderId="4" fillId="6" fontId="26" numFmtId="0" xfId="0" applyAlignment="1" applyBorder="1" applyFont="1">
      <alignment horizontal="center" readingOrder="0" shrinkToFit="0" vertical="center" wrapText="1"/>
    </xf>
    <xf borderId="4" fillId="7" fontId="31" numFmtId="0" xfId="0" applyAlignment="1" applyBorder="1" applyFont="1">
      <alignment horizontal="center" readingOrder="0" shrinkToFit="0" vertical="center" wrapText="1"/>
    </xf>
    <xf borderId="4" fillId="7" fontId="32" numFmtId="0" xfId="0" applyAlignment="1" applyBorder="1" applyFont="1">
      <alignment horizontal="center" readingOrder="0" shrinkToFit="0" vertical="center" wrapText="1"/>
    </xf>
    <xf borderId="1" fillId="0" fontId="2" numFmtId="0" xfId="0" applyAlignment="1" applyBorder="1" applyFont="1">
      <alignment horizontal="center" shrinkToFit="0" vertical="center" wrapText="1"/>
    </xf>
    <xf borderId="4" fillId="0" fontId="33" numFmtId="0" xfId="0" applyAlignment="1" applyBorder="1" applyFont="1">
      <alignment horizontal="center" shrinkToFit="0" vertical="center" wrapText="1"/>
    </xf>
    <xf borderId="4" fillId="7" fontId="27" numFmtId="0" xfId="0" applyAlignment="1" applyBorder="1" applyFont="1">
      <alignment horizontal="center" shrinkToFit="0" vertical="center" wrapText="1"/>
    </xf>
    <xf borderId="4" fillId="7" fontId="34" numFmtId="164" xfId="0" applyAlignment="1" applyBorder="1" applyFont="1" applyNumberFormat="1">
      <alignment horizontal="center" shrinkToFit="0" vertical="center" wrapText="1"/>
    </xf>
    <xf borderId="4" fillId="0" fontId="1" numFmtId="165" xfId="0" applyAlignment="1" applyBorder="1" applyFont="1" applyNumberFormat="1">
      <alignment horizontal="center" shrinkToFit="0" vertical="top" wrapText="1"/>
    </xf>
    <xf borderId="4" fillId="7" fontId="27" numFmtId="0" xfId="0" applyAlignment="1" applyBorder="1" applyFont="1">
      <alignment shrinkToFit="0" vertical="center" wrapText="1"/>
    </xf>
    <xf borderId="4" fillId="7" fontId="24" numFmtId="0" xfId="0" applyAlignment="1" applyBorder="1" applyFont="1">
      <alignment horizontal="center" shrinkToFit="0" vertical="center" wrapText="1"/>
    </xf>
    <xf borderId="4" fillId="7" fontId="1" numFmtId="164" xfId="0" applyAlignment="1" applyBorder="1" applyFont="1" applyNumberFormat="1">
      <alignment horizontal="center" shrinkToFit="0" vertical="center" wrapText="1"/>
    </xf>
    <xf borderId="4" fillId="8" fontId="24" numFmtId="0" xfId="0" applyAlignment="1" applyBorder="1" applyFont="1">
      <alignment shrinkToFit="0" vertical="center" wrapText="1"/>
    </xf>
    <xf borderId="7" fillId="6" fontId="10" numFmtId="0" xfId="0" applyAlignment="1" applyBorder="1" applyFont="1">
      <alignment horizontal="center" readingOrder="0" shrinkToFit="0" vertical="center" wrapText="1"/>
    </xf>
    <xf borderId="7" fillId="0" fontId="10" numFmtId="164" xfId="0" applyAlignment="1" applyBorder="1" applyFont="1" applyNumberFormat="1">
      <alignment horizontal="center" readingOrder="0" shrinkToFit="0" vertical="center" wrapText="1"/>
    </xf>
    <xf borderId="4" fillId="0" fontId="10" numFmtId="0" xfId="0" applyAlignment="1" applyBorder="1" applyFont="1">
      <alignment horizontal="left" readingOrder="0" shrinkToFit="0" vertical="center" wrapText="1"/>
    </xf>
    <xf borderId="1" fillId="0" fontId="1" numFmtId="0" xfId="0" applyBorder="1" applyFont="1"/>
    <xf borderId="4" fillId="0" fontId="35" numFmtId="0" xfId="0" applyAlignment="1" applyBorder="1" applyFont="1">
      <alignment horizontal="center" shrinkToFit="0" vertical="center" wrapText="1"/>
    </xf>
    <xf borderId="4" fillId="7" fontId="10" numFmtId="164" xfId="0" applyAlignment="1" applyBorder="1" applyFont="1" applyNumberFormat="1">
      <alignment horizontal="center" shrinkToFit="0" vertical="center" wrapText="1"/>
    </xf>
    <xf borderId="5" fillId="7" fontId="36" numFmtId="166" xfId="0" applyAlignment="1" applyBorder="1" applyFont="1" applyNumberFormat="1">
      <alignment horizontal="center" readingOrder="0" shrinkToFit="0" vertical="center" wrapText="1"/>
    </xf>
    <xf borderId="4" fillId="0" fontId="10" numFmtId="0" xfId="0" applyAlignment="1" applyBorder="1" applyFont="1">
      <alignment horizontal="center" vertical="center"/>
    </xf>
    <xf borderId="6" fillId="7" fontId="10" numFmtId="0" xfId="0" applyAlignment="1" applyBorder="1" applyFont="1">
      <alignment horizontal="center" shrinkToFit="0" vertical="center" wrapText="1"/>
    </xf>
    <xf borderId="6" fillId="7" fontId="37" numFmtId="0" xfId="0" applyAlignment="1" applyBorder="1" applyFont="1">
      <alignment horizontal="center" shrinkToFit="0" vertical="center" wrapText="1"/>
    </xf>
    <xf borderId="4" fillId="0" fontId="38" numFmtId="0" xfId="0" applyAlignment="1" applyBorder="1" applyFont="1">
      <alignment horizontal="center" readingOrder="0" shrinkToFit="0" vertical="center" wrapText="1"/>
    </xf>
    <xf borderId="6" fillId="7" fontId="30" numFmtId="0" xfId="0" applyAlignment="1" applyBorder="1" applyFont="1">
      <alignment horizontal="center" readingOrder="0" shrinkToFit="0" vertical="center" wrapText="1"/>
    </xf>
    <xf borderId="0" fillId="0" fontId="39" numFmtId="0" xfId="0" applyFont="1"/>
    <xf borderId="4" fillId="6" fontId="10" numFmtId="0" xfId="0" applyAlignment="1" applyBorder="1" applyFont="1">
      <alignment horizontal="center" shrinkToFit="0" vertical="center" wrapText="1"/>
    </xf>
    <xf borderId="4" fillId="7" fontId="30" numFmtId="0" xfId="0" applyAlignment="1" applyBorder="1" applyFont="1">
      <alignment horizontal="center" shrinkToFit="0" vertical="center" wrapText="1"/>
    </xf>
    <xf borderId="4" fillId="8" fontId="24" numFmtId="0" xfId="0" applyAlignment="1" applyBorder="1" applyFont="1">
      <alignment horizontal="center" shrinkToFit="0" vertical="center" wrapText="1"/>
    </xf>
    <xf borderId="4" fillId="8" fontId="24" numFmtId="0" xfId="0" applyAlignment="1" applyBorder="1" applyFont="1">
      <alignment horizontal="center" readingOrder="0" shrinkToFit="0" vertical="center" wrapText="1"/>
    </xf>
    <xf borderId="4" fillId="7" fontId="40" numFmtId="0" xfId="0" applyAlignment="1" applyBorder="1" applyFont="1">
      <alignment horizontal="center" readingOrder="0" shrinkToFit="0" vertical="center" wrapText="1"/>
    </xf>
    <xf borderId="4" fillId="0" fontId="1" numFmtId="0" xfId="0" applyAlignment="1" applyBorder="1" applyFont="1">
      <alignment horizontal="center" readingOrder="0" shrinkToFit="0" vertical="center" wrapText="1"/>
    </xf>
    <xf borderId="4" fillId="6" fontId="1" numFmtId="0" xfId="0" applyAlignment="1" applyBorder="1" applyFont="1">
      <alignment horizontal="center" readingOrder="0" shrinkToFit="0" vertical="center" wrapText="1"/>
    </xf>
    <xf borderId="4" fillId="7" fontId="1" numFmtId="164" xfId="0" applyAlignment="1" applyBorder="1" applyFont="1" applyNumberFormat="1">
      <alignment horizontal="center" readingOrder="0" shrinkToFit="0" vertical="center" wrapText="1"/>
    </xf>
    <xf borderId="4" fillId="0" fontId="1" numFmtId="164" xfId="0" applyAlignment="1" applyBorder="1" applyFont="1" applyNumberFormat="1">
      <alignment horizontal="center" shrinkToFit="0" vertical="center" wrapText="1"/>
    </xf>
    <xf borderId="4" fillId="0" fontId="1" numFmtId="169" xfId="0" applyAlignment="1" applyBorder="1" applyFont="1" applyNumberFormat="1">
      <alignment horizontal="center" readingOrder="0" shrinkToFit="0" vertical="center" wrapText="1"/>
    </xf>
    <xf borderId="4" fillId="7" fontId="41" numFmtId="170" xfId="0" applyAlignment="1" applyBorder="1" applyFont="1" applyNumberFormat="1">
      <alignment horizontal="center" readingOrder="0" shrinkToFit="0" vertical="center" wrapText="1"/>
    </xf>
    <xf borderId="4" fillId="0" fontId="1" numFmtId="0" xfId="0" applyAlignment="1" applyBorder="1" applyFont="1">
      <alignment horizontal="center" shrinkToFit="0" vertical="center" wrapText="1"/>
    </xf>
    <xf borderId="4" fillId="7" fontId="1" numFmtId="0" xfId="0" applyAlignment="1" applyBorder="1" applyFont="1">
      <alignment horizontal="center" readingOrder="0" shrinkToFit="0" vertical="center" wrapText="1"/>
    </xf>
    <xf borderId="4" fillId="7" fontId="1" numFmtId="165" xfId="0" applyAlignment="1" applyBorder="1" applyFont="1" applyNumberFormat="1">
      <alignment horizontal="center" readingOrder="0" shrinkToFit="0" vertical="center" wrapText="1"/>
    </xf>
    <xf borderId="4" fillId="7" fontId="42" numFmtId="166" xfId="0" applyAlignment="1" applyBorder="1" applyFont="1" applyNumberFormat="1">
      <alignment horizontal="center" readingOrder="0" shrinkToFit="0" vertical="center" wrapText="1"/>
    </xf>
    <xf borderId="4" fillId="0" fontId="1" numFmtId="164" xfId="0" applyAlignment="1" applyBorder="1" applyFont="1" applyNumberFormat="1">
      <alignment horizontal="center" readingOrder="0" shrinkToFit="0" vertical="center" wrapText="1"/>
    </xf>
    <xf borderId="4" fillId="7" fontId="43" numFmtId="164" xfId="0" applyAlignment="1" applyBorder="1" applyFont="1" applyNumberFormat="1">
      <alignment horizontal="center" readingOrder="0" shrinkToFit="0" vertical="center" wrapText="1"/>
    </xf>
    <xf borderId="0" fillId="0" fontId="44" numFmtId="0" xfId="0" applyAlignment="1" applyFont="1">
      <alignment readingOrder="0"/>
    </xf>
    <xf borderId="4" fillId="0" fontId="1" numFmtId="165" xfId="0" applyAlignment="1" applyBorder="1" applyFont="1" applyNumberFormat="1">
      <alignment horizontal="center" readingOrder="0" shrinkToFit="0" vertical="center" wrapText="1"/>
    </xf>
    <xf borderId="4" fillId="7" fontId="1" numFmtId="0" xfId="0" applyAlignment="1" applyBorder="1" applyFont="1">
      <alignment horizontal="center" shrinkToFit="0" wrapText="1"/>
    </xf>
    <xf borderId="4" fillId="7" fontId="1" numFmtId="0" xfId="0" applyAlignment="1" applyBorder="1" applyFont="1">
      <alignment horizontal="center" readingOrder="0" shrinkToFit="0" wrapText="1"/>
    </xf>
    <xf borderId="4" fillId="0" fontId="45" numFmtId="0" xfId="0" applyAlignment="1" applyBorder="1" applyFont="1">
      <alignment horizontal="center" shrinkToFit="0" vertical="center" wrapText="1"/>
    </xf>
    <xf borderId="4" fillId="7" fontId="1" numFmtId="0" xfId="0" applyAlignment="1" applyBorder="1" applyFont="1">
      <alignment horizontal="center" shrinkToFit="0" vertical="center" wrapText="1"/>
    </xf>
    <xf borderId="4" fillId="0" fontId="1" numFmtId="165" xfId="0" applyAlignment="1" applyBorder="1" applyFont="1" applyNumberFormat="1">
      <alignment horizontal="center" shrinkToFit="0" vertical="center" wrapText="1"/>
    </xf>
    <xf borderId="4" fillId="7" fontId="4" numFmtId="164" xfId="0" applyAlignment="1" applyBorder="1" applyFont="1" applyNumberFormat="1">
      <alignment horizontal="center" shrinkToFit="0" vertical="center" wrapText="1"/>
    </xf>
    <xf borderId="4" fillId="8" fontId="1" numFmtId="0" xfId="0" applyAlignment="1" applyBorder="1" applyFont="1">
      <alignment horizontal="center" readingOrder="0" shrinkToFit="0" vertical="center" wrapText="1"/>
    </xf>
    <xf borderId="4" fillId="0" fontId="1" numFmtId="166" xfId="0" applyAlignment="1" applyBorder="1" applyFont="1" applyNumberFormat="1">
      <alignment horizontal="center" readingOrder="0" shrinkToFit="0" vertical="center" wrapText="1"/>
    </xf>
    <xf borderId="4" fillId="0" fontId="1" numFmtId="166" xfId="0" applyAlignment="1" applyBorder="1" applyFont="1" applyNumberFormat="1">
      <alignment horizontal="center" shrinkToFit="0" vertical="center" wrapText="1"/>
    </xf>
    <xf borderId="4" fillId="7" fontId="1" numFmtId="164" xfId="0" applyAlignment="1" applyBorder="1" applyFont="1" applyNumberFormat="1">
      <alignment horizontal="center" readingOrder="0" shrinkToFit="0" vertical="center" wrapText="1"/>
    </xf>
    <xf borderId="10" fillId="0" fontId="12" numFmtId="3" xfId="0" applyAlignment="1" applyBorder="1" applyFont="1" applyNumberFormat="1">
      <alignment horizontal="center" shrinkToFit="0" vertical="top" wrapText="1"/>
    </xf>
    <xf borderId="4" fillId="0" fontId="12" numFmtId="3" xfId="0" applyAlignment="1" applyBorder="1" applyFont="1" applyNumberFormat="1">
      <alignment horizontal="center" shrinkToFit="0" vertical="top" wrapText="1"/>
    </xf>
    <xf borderId="4" fillId="0" fontId="1" numFmtId="0" xfId="0" applyAlignment="1" applyBorder="1" applyFont="1">
      <alignment horizontal="center" readingOrder="0" shrinkToFit="0" vertical="top" wrapText="1"/>
    </xf>
    <xf borderId="4" fillId="0" fontId="46" numFmtId="0" xfId="0" applyAlignment="1" applyBorder="1" applyFont="1">
      <alignment horizontal="center" readingOrder="0" shrinkToFit="0" vertical="top" wrapText="1"/>
    </xf>
    <xf borderId="4" fillId="0" fontId="47" numFmtId="169" xfId="0" applyAlignment="1" applyBorder="1" applyFont="1" applyNumberFormat="1">
      <alignment horizontal="center" readingOrder="0" shrinkToFit="0" vertical="center" wrapText="1"/>
    </xf>
    <xf borderId="4" fillId="0" fontId="1" numFmtId="169" xfId="0" applyAlignment="1" applyBorder="1" applyFont="1" applyNumberFormat="1">
      <alignment horizontal="center" shrinkToFit="0" vertical="top" wrapText="1"/>
    </xf>
    <xf borderId="4" fillId="0" fontId="47" numFmtId="166" xfId="0" applyAlignment="1" applyBorder="1" applyFont="1" applyNumberFormat="1">
      <alignment horizontal="center" readingOrder="0" shrinkToFit="0" vertical="center" wrapText="1"/>
    </xf>
    <xf borderId="4" fillId="0" fontId="47" numFmtId="0" xfId="0" applyAlignment="1" applyBorder="1" applyFont="1">
      <alignment horizontal="center" shrinkToFit="0" vertical="center" wrapText="1"/>
    </xf>
    <xf borderId="4" fillId="0" fontId="1" numFmtId="0" xfId="0" applyAlignment="1" applyBorder="1" applyFont="1">
      <alignment horizontal="center" shrinkToFit="0" vertical="top" wrapText="1"/>
    </xf>
    <xf borderId="4" fillId="6" fontId="1" numFmtId="0" xfId="0" applyAlignment="1" applyBorder="1" applyFont="1">
      <alignment horizontal="center" readingOrder="0" shrinkToFit="0" vertical="top" wrapText="1"/>
    </xf>
    <xf borderId="4" fillId="9" fontId="47" numFmtId="0" xfId="0" applyAlignment="1" applyBorder="1" applyFill="1" applyFont="1">
      <alignment horizontal="center" shrinkToFit="0" vertical="center" wrapText="1"/>
    </xf>
    <xf borderId="4" fillId="0" fontId="48" numFmtId="0" xfId="0" applyAlignment="1" applyBorder="1" applyFont="1">
      <alignment horizontal="center" readingOrder="0" shrinkToFit="0" vertical="center" wrapText="1"/>
    </xf>
    <xf borderId="4" fillId="0" fontId="1" numFmtId="0" xfId="0" applyAlignment="1" applyBorder="1" applyFont="1">
      <alignment readingOrder="0" shrinkToFit="0" vertical="center" wrapText="1"/>
    </xf>
    <xf borderId="4" fillId="10" fontId="49" numFmtId="0" xfId="0" applyAlignment="1" applyBorder="1" applyFill="1" applyFont="1">
      <alignment readingOrder="0" shrinkToFit="0" vertical="center" wrapText="1"/>
    </xf>
    <xf borderId="4" fillId="0" fontId="50" numFmtId="0" xfId="0" applyAlignment="1" applyBorder="1" applyFont="1">
      <alignment shrinkToFit="0" vertical="center" wrapText="1"/>
    </xf>
    <xf borderId="4" fillId="0" fontId="1" numFmtId="164" xfId="0" applyAlignment="1" applyBorder="1" applyFont="1" applyNumberFormat="1">
      <alignment readingOrder="0" shrinkToFit="0" vertical="center" wrapText="1"/>
    </xf>
    <xf borderId="4" fillId="0" fontId="1" numFmtId="164" xfId="0" applyAlignment="1" applyBorder="1" applyFont="1" applyNumberFormat="1">
      <alignment shrinkToFit="0" vertical="center" wrapText="1"/>
    </xf>
    <xf borderId="4" fillId="0" fontId="1" numFmtId="165" xfId="0" applyAlignment="1" applyBorder="1" applyFont="1" applyNumberFormat="1">
      <alignment readingOrder="0" shrinkToFit="0" vertical="center" wrapText="1"/>
    </xf>
    <xf borderId="4" fillId="0" fontId="1" numFmtId="0" xfId="0" applyAlignment="1" applyBorder="1" applyFont="1">
      <alignment shrinkToFit="0" vertical="center" wrapText="1"/>
    </xf>
    <xf borderId="0" fillId="7" fontId="51" numFmtId="0" xfId="0" applyAlignment="1" applyFont="1">
      <alignment readingOrder="0"/>
    </xf>
    <xf borderId="4" fillId="0" fontId="52" numFmtId="0" xfId="0" applyAlignment="1" applyBorder="1" applyFont="1">
      <alignment readingOrder="0" shrinkToFit="0" vertical="center" wrapText="1"/>
    </xf>
    <xf borderId="4" fillId="10" fontId="53" numFmtId="0" xfId="0" applyAlignment="1" applyBorder="1" applyFont="1">
      <alignment readingOrder="0" shrinkToFit="0" vertical="center" wrapText="1"/>
    </xf>
    <xf borderId="4" fillId="6" fontId="54" numFmtId="0" xfId="0" applyAlignment="1" applyBorder="1" applyFont="1">
      <alignment readingOrder="0" shrinkToFit="0" vertical="center" wrapText="1"/>
    </xf>
    <xf borderId="4" fillId="6" fontId="55" numFmtId="0" xfId="0" applyAlignment="1" applyBorder="1" applyFont="1">
      <alignment horizontal="center" readingOrder="0" shrinkToFit="0" vertical="top" wrapText="1"/>
    </xf>
    <xf borderId="4" fillId="0" fontId="1" numFmtId="164" xfId="0" applyAlignment="1" applyBorder="1" applyFont="1" applyNumberFormat="1">
      <alignment horizontal="center" readingOrder="0" shrinkToFit="0" vertical="top" wrapText="1"/>
    </xf>
    <xf borderId="4" fillId="0" fontId="1" numFmtId="164" xfId="0" applyAlignment="1" applyBorder="1" applyFont="1" applyNumberFormat="1">
      <alignment horizontal="center" shrinkToFit="0" vertical="top" wrapText="1"/>
    </xf>
    <xf borderId="4" fillId="0" fontId="1" numFmtId="166" xfId="0" applyAlignment="1" applyBorder="1" applyFont="1" applyNumberFormat="1">
      <alignment horizontal="center" readingOrder="0" shrinkToFit="0" vertical="top" wrapText="1"/>
    </xf>
    <xf borderId="4" fillId="7" fontId="1" numFmtId="0" xfId="0" applyAlignment="1" applyBorder="1" applyFont="1">
      <alignment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20" Type="http://schemas.openxmlformats.org/officeDocument/2006/relationships/worksheet" Target="worksheets/sheet17.xml"/><Relationship Id="rId22" Type="http://schemas.openxmlformats.org/officeDocument/2006/relationships/worksheet" Target="worksheets/sheet19.xml"/><Relationship Id="rId21" Type="http://schemas.openxmlformats.org/officeDocument/2006/relationships/worksheet" Target="worksheets/sheet18.xml"/><Relationship Id="rId24" Type="http://schemas.openxmlformats.org/officeDocument/2006/relationships/worksheet" Target="worksheets/sheet21.xml"/><Relationship Id="rId23" Type="http://schemas.openxmlformats.org/officeDocument/2006/relationships/worksheet" Target="worksheets/sheet20.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25" Type="http://customschemas.google.com/relationships/workbookmetadata" Target="metadata"/><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5" Type="http://schemas.openxmlformats.org/officeDocument/2006/relationships/worksheet" Target="worksheets/sheet12.xml"/><Relationship Id="rId14" Type="http://schemas.openxmlformats.org/officeDocument/2006/relationships/worksheet" Target="worksheets/sheet11.xml"/><Relationship Id="rId17" Type="http://schemas.openxmlformats.org/officeDocument/2006/relationships/worksheet" Target="worksheets/sheet14.xml"/><Relationship Id="rId16" Type="http://schemas.openxmlformats.org/officeDocument/2006/relationships/worksheet" Target="worksheets/sheet13.xml"/><Relationship Id="rId19" Type="http://schemas.openxmlformats.org/officeDocument/2006/relationships/worksheet" Target="worksheets/sheet16.xml"/><Relationship Id="rId18" Type="http://schemas.openxmlformats.org/officeDocument/2006/relationships/worksheet" Target="worksheets/sheet1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listado.mercadolibre.com.co/dell-optiplex-3050" TargetMode="External"/><Relationship Id="rId2" Type="http://schemas.openxmlformats.org/officeDocument/2006/relationships/hyperlink" Target="https://www.mipcparquecentral.com/products/computador-intel-celeron-g6900-8gb-ram-ssd-240gb-monitor-19" TargetMode="External"/><Relationship Id="rId3" Type="http://schemas.openxmlformats.org/officeDocument/2006/relationships/hyperlink" Target="https://linkcomputer.com.co/producto/torre-hp-prodesk-400-g6-core-i3-9100-8gb-ram-256gb-ssd/" TargetMode="External"/><Relationship Id="rId4"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s://www.mercadolibre.com.co/monitor-curvo-27-fhd-diseno-sin-bordes-color-black-100v240v/p/MCO17431651?pdp_filters=category%3AMCO1656&amp;quantity=3" TargetMode="External"/><Relationship Id="rId2"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hyperlink" Target="https://www.alkosto.com/unidad-estado-solido-kingston-480gb/p/740617263442?fuente=google&amp;medio=cpc&amp;campaign=AK_COL_MAX_PEF_CPC_AON_VJ_TLP_Accesorios-Videojuegos-AON_PAC&amp;keyword=&amp;gad_source=4&amp;gad_campaignid=17338992415&amp;gbraid=0AAAAADlnVbgA7i95wfJcIcsfq8XZsIHh4&amp;gclid=Cj0KCQiA9OnJBhD-ARIsAPV51xNvb45a06UDqXsiBOM-twG8zgiI-sv311T-Nbovg67OK-4oyprDLRQaAlLzEALw_wcB" TargetMode="External"/><Relationship Id="rId2" Type="http://schemas.openxmlformats.org/officeDocument/2006/relationships/hyperlink" Target="https://www.alkosto.com/unidad-estado-solido-adata-su650-512gb/p/4711085931528?fuente=google&amp;medio=cpc&amp;campaign=AK_COL_MAX_PEF_CPC_AON_VJ_TLP_Accesorios-Videojuegos-AON_PAC&amp;keyword=&amp;gad_source=4&amp;gad_campaignid=17338992415&amp;gbraid=0AAAAADlnVbgA7i95wfJcIcsfq8XZsIHh4&amp;gclid=Cj0KCQiA9OnJBhD-ARIsAPV51xPdL1hv5RfWEau71GysQzFoL3lL_8YgSkeatC1LS4Pz133aXZZRUXsaAvmQEALw_wcB" TargetMode="External"/><Relationship Id="rId3" Type="http://schemas.openxmlformats.org/officeDocument/2006/relationships/hyperlink" Target="https://www.mercadolibre.com.co/disco-estado-solido-ssd-kingston-25-a400-960gb-negro/p/MCO26810824?pdp_filters=item_id%3AMCO1398802107&amp;from=gshop&amp;matt_tool=32927594&amp;matt_word=&amp;matt_source=google&amp;matt_campaign_id=22126928795&amp;matt_ad_group_id=173140669883&amp;matt_match_type=&amp;matt_network=g&amp;matt_device=c&amp;matt_creative=729917880236&amp;matt_keyword=&amp;matt_ad_position=&amp;matt_ad_type=pla&amp;matt_merchant_id=735122983&amp;matt_product_id=MCO26810824-product&amp;matt_product_partition_id=2389849485285&amp;matt_target_id=pla-2389849485285&amp;cq_src=google_ads&amp;cq_cmp=22126928795&amp;cq_net=g&amp;cq_plt=gp&amp;cq_med=pla&amp;gad_source=4&amp;gad_campaignid=22126928795&amp;gbraid=0AAAAAD1Dcoy9w5dxWdNu1whWxagGuq9OD&amp;gclid=Cj0KCQiA9OnJBhD-ARIsAPV51xOeIpmcJqAvxRNaYgFgfMC9qFuRWXlhQi3vLDBcgK4vuVIil1RCb0saAracEALw_wcB" TargetMode="External"/><Relationship Id="rId4"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hyperlink" Target="https://www.mercadolibre.com.co/servidor-rack-marca-ciara-intel-xeon-e3-1260l-16gb-1tb/up/MCOU2403468563" TargetMode="External"/><Relationship Id="rId2" Type="http://schemas.openxmlformats.org/officeDocument/2006/relationships/hyperlink" Target="https://www.mercadolibre.com.co/servidor-lenovo-ts440-intel-xeon-e3-1226-v3-ram-32gb-1tb-ssd/up/MCOU2996417764" TargetMode="External"/><Relationship Id="rId3" Type="http://schemas.openxmlformats.org/officeDocument/2006/relationships/hyperlink" Target="https://www.compulago.com/producto/hpe-proliant-microserver-gen10-plus-v2-e2314-nhp-1tb-2323-03351427/" TargetMode="External"/><Relationship Id="rId4"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hyperlink" Target="https://www.tiendasaliz.com/MCO-2153941166-memoria-ram-ddr4-16gb-3200mhz-pc-kingston-fury-_JM" TargetMode="External"/><Relationship Id="rId2" Type="http://schemas.openxmlformats.org/officeDocument/2006/relationships/hyperlink" Target="https://mipscolombia.com.co/product/ddr4-16gb-3200-kingston-2/" TargetMode="External"/><Relationship Id="rId3" Type="http://schemas.openxmlformats.org/officeDocument/2006/relationships/hyperlink" Target="https://unilago.com/producto/49853-DDR4-16GB?srsltid=AfmBOooEtXjKF0VkjcUYqzf7zXdPO7IBptOhYoO8y4gOp8Cxf_yVloCoIdw" TargetMode="External"/><Relationship Id="rId4"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hyperlink" Target="https://www.ktronix.com/teclado-logitech-k120-usb/p" TargetMode="External"/><Relationship Id="rId2" Type="http://schemas.openxmlformats.org/officeDocument/2006/relationships/hyperlink" Target="https://www.exito.com/teclado-gamer-redragon-karura-k502/p" TargetMode="External"/><Relationship Id="rId3" Type="http://schemas.openxmlformats.org/officeDocument/2006/relationships/hyperlink" Target="http://alkosto.com/combo-hp-alambrico-teclado-mouse-150-negro/p/195122875534?utm_source=chatgpt.com" TargetMode="External"/><Relationship Id="rId4"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hyperlink" Target="https://www.alkosto.com/mouse-logitech-b100-usb/p" TargetMode="External"/><Relationship Id="rId2" Type="http://schemas.openxmlformats.org/officeDocument/2006/relationships/hyperlink" Target="https://www.panamericana.com.co/mouse-hp-150-usb/p" TargetMode="External"/><Relationship Id="rId3" Type="http://schemas.openxmlformats.org/officeDocument/2006/relationships/hyperlink" Target="http://alkosto.com/combo-hp-alambrico-teclado-mouse-150-negro/p/195122875534?utm_source=chatgpt.com" TargetMode="External"/><Relationship Id="rId4"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hyperlink" Target="https://www.exito.com/portatil-hp-15-fc0002la-ryzen3/p" TargetMode="External"/><Relationship Id="rId2" Type="http://schemas.openxmlformats.org/officeDocument/2006/relationships/hyperlink" Target="https://www.alkosto.com/portatil-lenovo-ideapad-3-ryzen5/p" TargetMode="External"/><Relationship Id="rId3" Type="http://schemas.openxmlformats.org/officeDocument/2006/relationships/hyperlink" Target="https://www.panamericana.com.co/portatil-asus-vivobook-i5/p" TargetMode="External"/><Relationship Id="rId4"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hyperlink" Target="https://www.alkosto.com/monitor-lg-22-pulgadas-22mr410-fhd-plano-negro/p/8806084644749" TargetMode="External"/><Relationship Id="rId2" Type="http://schemas.openxmlformats.org/officeDocument/2006/relationships/hyperlink" Target="https://www.falabella.com.co/falabella-co/product/143998999/Monitor-Samsung-LS22D310-22-Plano-FHD-Negro-75Hz/143999000" TargetMode="External"/><Relationship Id="rId3" Type="http://schemas.openxmlformats.org/officeDocument/2006/relationships/hyperlink" Target="https://www.mercadolibre.com.co/monitor-aoc-22b2hm2-22-pulgadas-full-hd-va-100hz-adapti-sync-color-negro/p/MCO45724339" TargetMode="External"/><Relationship Id="rId4"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hyperlink" Target="https://speedlogic.com.co/tienda/unidades-ssd/m-2-nvme/unidad-de-estado-solido-ssd-m2-nvme-512gb-patriot-p320-3000-x-2200/" TargetMode="External"/><Relationship Id="rId2" Type="http://schemas.openxmlformats.org/officeDocument/2006/relationships/hyperlink" Target="https://clonesyperifericos.com/comprar/ssd-adata-ultimate-su650-512gb-2-5/" TargetMode="External"/><Relationship Id="rId3" Type="http://schemas.openxmlformats.org/officeDocument/2006/relationships/hyperlink" Target="https://www.mercadolibre.com.co/ssd-adata-legend-700-512gb-m2-2280-pcie-gen3-20001600-mbs/p/MCO20489263" TargetMode="External"/><Relationship Id="rId4"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hyperlink" Target="https://www.mercadolibre.com.co/servidor-hp-proliant-ml350e-gen8/up/MCOU3411568531" TargetMode="External"/><Relationship Id="rId2" Type="http://schemas.openxmlformats.org/officeDocument/2006/relationships/hyperlink" Target="https://www.mercadolibre.com.co/servidor-lenovo-thinkserver-ts440-xeon-ram-16gb-600gbx2-sas/up/MCOU3051483357" TargetMode="External"/><Relationship Id="rId3" Type="http://schemas.openxmlformats.org/officeDocument/2006/relationships/hyperlink" Target="https://www.mercadolibre.com.co/servidores-hp-proliant-ml110-g7-intel-xeon-e31240-oferta/up/MCOU3158605797" TargetMode="External"/><Relationship Id="rId4"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hyperlink" Target="https://www.mercadolibre.com.co/memoria-ram-adata-ddr4-3200mhz-8gb-spectrix-d35g-negra-rgb/p/MCO32947978" TargetMode="External"/><Relationship Id="rId2" Type="http://schemas.openxmlformats.org/officeDocument/2006/relationships/hyperlink" Target="https://www.mercadolibre.com.co/memoria-ram-timetec-pinnacle-rgb-16gb-ddr4-3200mhz-gamer/p/MCO40536874?pdp_filters=item_id:MCO2722531542" TargetMode="External"/><Relationship Id="rId3" Type="http://schemas.openxmlformats.org/officeDocument/2006/relationships/hyperlink" Target="https://www.mercadolibre.com.co/memoria-ram-kingston-hyperx-fury-8gb-ddr4-3200mhz-hx432c16fb38/p/MCO22100554" TargetMode="External"/><Relationship Id="rId4"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hyperlink" Target="https://www.mercadolibre.com.co/tarjeta-de-video-nvidia-gigabyte-geforce-700-series-gt-710-2gb/p/MCO17917195" TargetMode="External"/><Relationship Id="rId2" Type="http://schemas.openxmlformats.org/officeDocument/2006/relationships/hyperlink" Target="https://www.mercadolibre.com.co/tarjeta-de-video-nvidia-msi-geforce-10-series-gt-1030-oc-edition-2gb/p/MCO15185444" TargetMode="External"/><Relationship Id="rId3" Type="http://schemas.openxmlformats.org/officeDocument/2006/relationships/hyperlink" Target="https://www.falabella.com.co/falabella-co/product/145078221/Tarjeta-Grafica-Nvidea-Geforce-Gt-730-4gb-Gddr3-Pci-e-3.0/145078222" TargetMode="External"/><Relationship Id="rId4"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hyperlink" Target="https://www.mercadolibre.com.co/procesador-gamer-intel-core-i5-12600kf-bx8071512600kf-de-10-nucleos-y-49ghz-de-frecuencia/p/MCO18720204?pdp_filters=item_id:MCO3079954926" TargetMode="External"/><Relationship Id="rId2" Type="http://schemas.openxmlformats.org/officeDocument/2006/relationships/hyperlink" Target="https://www.mercadolibre.com.co/procesador-gamer-amd-ryzen-5-3600-de-6-nucleos-12-hilos-y-42ghz-100-100000031box/p/MCO15143240" TargetMode="External"/><Relationship Id="rId3" Type="http://schemas.openxmlformats.org/officeDocument/2006/relationships/hyperlink" Target="https://www.mercadolibre.com.co/procesador-intel-core-i3-10100-bx8070110100-de-4-nucleos-y-43ghz-de-frecuencia-con-grafica-integrada/p/MCO15915916" TargetMode="External"/><Relationship Id="rId4"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hyperlink" Target="https://www.panamericana.com.co/teclado-basico-esenses-bk-107-159503/p" TargetMode="External"/><Relationship Id="rId2" Type="http://schemas.openxmlformats.org/officeDocument/2006/relationships/hyperlink" Target="https://www.mercadolibre.com.co/teclado-genius-kb-100-usb-negro/p/MCO15293170" TargetMode="External"/><Relationship Id="rId3" Type="http://schemas.openxmlformats.org/officeDocument/2006/relationships/hyperlink" Target="http://alkosto.com/combo-hp-alambrico-teclado-mouse-150-negro/p/195122875534?utm_source=chatgpt.com" TargetMode="External"/><Relationship Id="rId4"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hyperlink" Target="https://www.mercadolibre.com.co/mouse-inalambrico-genius-nx-7000-calm-black-1200-dpi-3bot/p/MCO6162786" TargetMode="External"/><Relationship Id="rId2" Type="http://schemas.openxmlformats.org/officeDocument/2006/relationships/hyperlink" Target="https://www.alkosto.com/mouse-hp-alambrico-optico-100-negro/p/193905461370" TargetMode="External"/><Relationship Id="rId3" Type="http://schemas.openxmlformats.org/officeDocument/2006/relationships/hyperlink" Target="http://alkosto.com/combo-hp-alambrico-teclado-mouse-150-negro/p/195122875534?utm_source=chatgpt.com" TargetMode="External"/><Relationship Id="rId4"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hyperlink" Target="https://nextcodes.net/product/paquete-windows-11-pro-microsoft-office-2021-professional-plus/?utm_source=Google%20Shopping&amp;utm_campaign=productos&amp;utm_medium=cpc&amp;utm_term=1980&amp;gad_source=4&amp;gad_campaignid=22698964792&amp;gbraid=0AAAAA-acUFUfKzAQi9z7K3J_xQSxppkOS&amp;gclid=CjwKCAiA0eTJBhBaEiwA-Pa-hUz8jX7PH_n10JWTwO_Fi_uUOYnTrgJtbO73CyUDQh1Jk3fV-rfqnxoC_VkQAvD_BwE" TargetMode="External"/><Relationship Id="rId2" Type="http://schemas.openxmlformats.org/officeDocument/2006/relationships/hyperlink" Target="https://bodegadigital.biz/producto/licencia-windows-11-home/?tm=tt&amp;ap=gads&amp;aaid=adafErvhHpFk1&amp;utm_source=google&amp;utm_medium=paid&amp;utm_campaign=21812087502&amp;utm_content=171719426129&amp;utm_term=&amp;gadid=717567918131&amp;aelia_cs_currency=COP&amp;bup=CjwKCAiA0eTJBhBaEiwA-Pa-hcxDXap5qIkp1KL-8MKJNAUI-0SN7SoOJjRWk8YhpMxPNr_mCFhhFRoCMf8QAvD_BwE&amp;gad_source=4&amp;gad_campaignid=21812087502&amp;gbraid=0AAAAACkIdYaiLZ370x6Kz6dZgCAUEZMOc&amp;gclid=CjwKCAiA0eTJBhBaEiwA-Pa-hcxDXap5qIkp1KL-8MKJNAUI-0SN7SoOJjRWk8YhpMxPNr_mCFhhFRoCMf8QAvD_BwE" TargetMode="External"/><Relationship Id="rId3" Type="http://schemas.openxmlformats.org/officeDocument/2006/relationships/hyperlink" Target="https://tulicencias.com/product/windows-11-pro/?currency=COP&amp;utm_id=22950947926&amp;utm_source=google&amp;utm_medium=cpc&amp;utm_device=c&amp;gad_source=4&amp;gad_campaignid=22950947926&amp;gbraid=0AAAAA9_hf_B1rMRu8c5jqD_1OJrV1iUpP&amp;gclid=CjwKCAiA0eTJBhBaEiwA-Pa-hWg_-0WnVfo6KCBaSDzjd-Qaa2AadQrouHonM4up3tS3BJ1ToEt0wxoCwJcQAvD_BwE" TargetMode="External"/><Relationship Id="rId4"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hyperlink" Target="https://www.g2a.com/es/microsoft-visual-studio-2022-professional-pc-microsoft-key-global-i10000325952002?___currency=COP&amp;___language=es&amp;er=055c9053725c1f6ad1fd86196901382117c327559a76dd5c5643910fe11337bbf89054c37756fd128ef68cd6a66f1737&amp;uuid=6d5a73bc-30fb-4428-9094-a5b7bdf09cbe&amp;adid=GA-CO_PEB_TP_CST_PMAX_FULL&amp;id=47&amp;utm_medium=cpc&amp;utm_source=google&amp;utm_campaign=GA-CO_PEB_TP_CST_PMAX_FULL&amp;utm_id=21519124221&amp;gclsrc=aw.ds&amp;gad_source=1&amp;gad_campaignid=21525321002&amp;gbraid=0AAAAADqf3lG1TdI_6GGOhMrXj0qeYJzxJ&amp;gclid=CjwKCAiAwqHIBhAEEiwAx9cTecz1pr-SFBEjAbY1ovweknOApvquJ2lLyPZBp_EgY93cTk3udzEivBoChysQAvD_BwE" TargetMode="External"/><Relationship Id="rId2" Type="http://schemas.openxmlformats.org/officeDocument/2006/relationships/hyperlink" Target="https://revolutionsoft.com.co/programacion/microsoft-visual-studio-2022-professional.html?srsltid=AfmBOorwO7hKi656FSpT8VV_et-MSycgtVTI3STrlKb562kdpEAFMnZBb5U" TargetMode="External"/><Relationship Id="rId3" Type="http://schemas.openxmlformats.org/officeDocument/2006/relationships/hyperlink" Target="https://www.microsoft.com/es-co/d/visual-studio-professional-2022/dg7gmgf0d3sj" TargetMode="External"/><Relationship Id="rId4"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hyperlink" Target="https://tulicencias.com/product/windows-11-pro/?currency=COP&amp;utm_id=22950947926&amp;utm_source=google&amp;utm_medium=cpc&amp;utm_device=c&amp;gad_source=1&amp;gad_campaignid=22950947926&amp;gbraid=0AAAAA9_hf_BtBoJ_W_HOV9cvqzZMsNo9Q&amp;gclid=CjwKCAiAwqHIBhAEEiwAx9cTeRH0wwHIMY_lzhtRXliT-10HZtZoqaWMlZ71JP_CVfyHr4Xm9_vk1hoCYP4QAvD_BwE" TargetMode="External"/><Relationship Id="rId2" Type="http://schemas.openxmlformats.org/officeDocument/2006/relationships/hyperlink" Target="https://www.eneba.com/es/microsoft-windows-microsoft-windows-11-oem-home-key-global/digital-imperium?product=digital&amp;currency=COP&amp;utm_adid=&amp;utm_campaign=&amp;utm_content=&amp;utm_source=google-ads&amp;utm_term=&amp;gad_source=1&amp;gad_campaignid=19499769054&amp;gbraid=0AAAAAC5HeFyMi8-C1CpuGcvrjjQYIm4Zk&amp;gclid=CjwKCAiAwqHIBhAEEiwAx9cTedC9tBsn5-8-qOxXxBZpQFWP7bI8sPtcmas-BfDGbkZK_E0PLK4AKRoCi1wQAvD_BwE" TargetMode="External"/><Relationship Id="rId3" Type="http://schemas.openxmlformats.org/officeDocument/2006/relationships/hyperlink" Target="https://licenciaspccl.net/product/paquete-windows-11-pro-microsoft-office-2021-professional-plus/?utm_source=Google%20Shopping&amp;utm_campaign=USD&amp;utm_medium=cpc&amp;utm_term=1310&amp;gad_source=4&amp;gad_campaignid=22962619869&amp;gbraid=0AAAAA-acnc7QOtQRCYuYT7_q98pRJvZyU&amp;gclid=CjwKCAiAwqHIBhAEEiwAx9cTeS9hcaobEL8Kl2F5u0qxT91cjCpCsvy0scXuShy4K2OZ_HkQtai0wRoCgPwQAvD_BwE" TargetMode="External"/><Relationship Id="rId4"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hyperlink" Target="https://www.g2a.com/es/microsoft-sql-server-2022-standard-pc-microsoft-key-global-i10000505539001?___language=es&amp;er=1a66240df3f1d892ae5a758c232bf69a9b137b2fce36bcd73400868f8a7fe6952d24541e7cd658840a828a79ec970ee3&amp;uuid=a3efe557-68ce-4ff1-82ff-24f01f41913e&amp;adid=GA-CO_PEB_TP_CST_PMAX_FULL&amp;id=47&amp;utm_medium=cpc&amp;utm_source=google&amp;utm_campaign=GA-CO_PEB_TP_CST_PMAX_FULL&amp;utm_id=21519124221&amp;gclsrc=aw.ds&amp;gad_source=4&amp;gad_campaignid=21525321002&amp;gbraid=0AAAAADqf3lHG_YC6iKBkT5sPQ8rfvvNst&amp;gclid=CjwKCAiAwqHIBhAEEiwAx9cTeSWsk9MZAQ7A5BB8OS4yrU9TLOqsd_RtKHWUFrUgF1R0zxanl9o3dhoC4T4QAvD_BwE" TargetMode="External"/><Relationship Id="rId2" Type="http://schemas.openxmlformats.org/officeDocument/2006/relationships/hyperlink" Target="https://bodegadigital.biz/producto/licencia-sql-server-standard-2019/?srsltid=AfmBOopDDvn92o9Yja7C2ozrVl2Zyag2VVKER7g3rnIFff2Tv2usVksAExg" TargetMode="External"/><Relationship Id="rId3" Type="http://schemas.openxmlformats.org/officeDocument/2006/relationships/hyperlink" Target="https://buhodigitalcol.com/sql-server-2019/?gad_source=4&amp;gad_campaignid=22501703237&amp;gbraid=0AAAAAqHi9t8aNosOz3bNKy9jHTPZ6Bb6i&amp;gclid=CjwKCAiAwqHIBhAEEiwAx9cTecjQ7s0IS5U7RmrirdLJ5YtdhmRRQzBdKulXJKvkkVA5TOyH7NFX1hoCU44QAvD_BwE" TargetMode="External"/><Relationship Id="rId4" Type="http://schemas.openxmlformats.org/officeDocument/2006/relationships/drawing" Target="../drawings/drawing2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3" width="19.13"/>
    <col customWidth="1" min="4" max="4" width="21.88"/>
    <col customWidth="1" min="5" max="6" width="17.0"/>
    <col customWidth="1" min="7" max="7" width="18.0"/>
    <col customWidth="1" min="8" max="8" width="17.0"/>
    <col customWidth="1" min="9" max="10" width="19.13"/>
    <col customWidth="1" min="11" max="26" width="10.0"/>
  </cols>
  <sheetData>
    <row r="1" ht="12.75" customHeight="1">
      <c r="A1" s="1" t="s">
        <v>0</v>
      </c>
    </row>
    <row r="2" ht="27.75" customHeight="1">
      <c r="D2" s="2" t="s">
        <v>1</v>
      </c>
    </row>
    <row r="3" ht="12.75" customHeight="1"/>
    <row r="4" ht="12.75" customHeight="1"/>
    <row r="5" ht="43.5" customHeight="1">
      <c r="A5" s="3" t="s">
        <v>2</v>
      </c>
      <c r="B5" s="4"/>
      <c r="C5" s="4"/>
      <c r="D5" s="4"/>
      <c r="E5" s="4"/>
      <c r="F5" s="4"/>
      <c r="G5" s="4"/>
      <c r="H5" s="4"/>
      <c r="I5" s="4"/>
      <c r="J5" s="5"/>
    </row>
    <row r="6" ht="15.75" customHeight="1"/>
    <row r="7" ht="75.75" customHeight="1">
      <c r="A7" s="6" t="s">
        <v>3</v>
      </c>
      <c r="B7" s="7" t="s">
        <v>4</v>
      </c>
      <c r="C7" s="7" t="s">
        <v>5</v>
      </c>
      <c r="D7" s="7" t="s">
        <v>6</v>
      </c>
      <c r="E7" s="7" t="s">
        <v>7</v>
      </c>
      <c r="F7" s="8" t="s">
        <v>8</v>
      </c>
      <c r="G7" s="9" t="s">
        <v>9</v>
      </c>
      <c r="H7" s="7" t="s">
        <v>10</v>
      </c>
      <c r="I7" s="7" t="s">
        <v>11</v>
      </c>
      <c r="J7" s="7" t="s">
        <v>12</v>
      </c>
      <c r="K7" s="10"/>
      <c r="L7" s="10"/>
      <c r="M7" s="10"/>
      <c r="N7" s="10"/>
      <c r="O7" s="10"/>
      <c r="P7" s="10"/>
      <c r="Q7" s="10"/>
      <c r="R7" s="10"/>
      <c r="S7" s="10"/>
      <c r="T7" s="10"/>
      <c r="U7" s="10"/>
      <c r="V7" s="10"/>
      <c r="W7" s="10"/>
      <c r="X7" s="10"/>
      <c r="Y7" s="10"/>
      <c r="Z7" s="10"/>
    </row>
    <row r="8" ht="50.25" customHeight="1">
      <c r="A8" s="11" t="s">
        <v>13</v>
      </c>
      <c r="B8" s="12" t="s">
        <v>14</v>
      </c>
      <c r="C8" s="13" t="s">
        <v>15</v>
      </c>
      <c r="D8" s="14" t="s">
        <v>16</v>
      </c>
      <c r="E8" s="15">
        <v>695000.0</v>
      </c>
      <c r="F8" s="15">
        <v>827050.0</v>
      </c>
      <c r="G8" s="16">
        <v>215.94</v>
      </c>
      <c r="H8" s="17">
        <v>3800.0</v>
      </c>
      <c r="I8" s="18" t="s">
        <v>17</v>
      </c>
      <c r="J8" s="19" t="s">
        <v>18</v>
      </c>
    </row>
    <row r="9" ht="50.25" customHeight="1">
      <c r="A9" s="11" t="s">
        <v>19</v>
      </c>
      <c r="B9" s="20" t="s">
        <v>20</v>
      </c>
      <c r="C9" s="13" t="s">
        <v>21</v>
      </c>
      <c r="D9" s="21" t="s">
        <v>22</v>
      </c>
      <c r="E9" s="15">
        <v>850000.0</v>
      </c>
      <c r="F9" s="15">
        <v>1011500.0</v>
      </c>
      <c r="G9" s="16">
        <v>264.09</v>
      </c>
      <c r="H9" s="17">
        <v>3800.0</v>
      </c>
      <c r="I9" s="18" t="s">
        <v>17</v>
      </c>
      <c r="J9" s="22" t="s">
        <v>23</v>
      </c>
    </row>
    <row r="10" ht="50.25" customHeight="1">
      <c r="A10" s="11" t="s">
        <v>24</v>
      </c>
      <c r="B10" s="12" t="s">
        <v>20</v>
      </c>
      <c r="C10" s="13" t="s">
        <v>25</v>
      </c>
      <c r="D10" s="23" t="s">
        <v>26</v>
      </c>
      <c r="E10" s="15">
        <v>1150000.0</v>
      </c>
      <c r="F10" s="15">
        <v>1368500.0</v>
      </c>
      <c r="G10" s="16">
        <v>357.31</v>
      </c>
      <c r="H10" s="17">
        <v>3800.0</v>
      </c>
      <c r="I10" s="18" t="s">
        <v>17</v>
      </c>
      <c r="J10" s="24" t="s">
        <v>27</v>
      </c>
    </row>
    <row r="11" ht="15.0" hidden="1" customHeight="1">
      <c r="A11" s="25"/>
      <c r="B11" s="26"/>
      <c r="C11" s="26"/>
      <c r="D11" s="26"/>
      <c r="E11" s="26"/>
      <c r="F11" s="26"/>
      <c r="G11" s="26"/>
      <c r="H11" s="26"/>
      <c r="I11" s="26"/>
      <c r="J11" s="26"/>
    </row>
    <row r="12" ht="12.75" customHeight="1"/>
    <row r="13" ht="138.75" customHeight="1">
      <c r="A13" s="27" t="s">
        <v>28</v>
      </c>
      <c r="B13" s="4"/>
      <c r="C13" s="4"/>
      <c r="D13" s="4"/>
      <c r="E13" s="4"/>
      <c r="F13" s="4"/>
      <c r="G13" s="4"/>
      <c r="H13" s="4"/>
      <c r="I13" s="4"/>
      <c r="J13" s="5"/>
    </row>
    <row r="14" ht="12.75" customHeight="1"/>
    <row r="15" ht="75.0" customHeight="1">
      <c r="A15" s="27" t="s">
        <v>29</v>
      </c>
      <c r="B15" s="4"/>
      <c r="C15" s="4"/>
      <c r="D15" s="4"/>
      <c r="E15" s="4"/>
      <c r="F15" s="4"/>
      <c r="G15" s="4"/>
      <c r="H15" s="4"/>
      <c r="I15" s="4"/>
      <c r="J15" s="5"/>
    </row>
    <row r="16" ht="12.75" customHeight="1"/>
    <row r="17" ht="12.75" customHeight="1"/>
    <row r="18" ht="12.75" customHeight="1"/>
    <row r="19" ht="12.75" customHeight="1"/>
    <row r="20" ht="12.75" customHeight="1"/>
    <row r="21" ht="12.75" customHeight="1"/>
    <row r="22" ht="12.75" customHeight="1"/>
    <row r="23" ht="12.75" customHeight="1"/>
    <row r="24" ht="12.75" customHeight="1"/>
    <row r="25" ht="12.75" customHeight="1"/>
    <row r="26" ht="12.75" customHeight="1">
      <c r="D26" s="28"/>
      <c r="E26" s="28"/>
      <c r="F26" s="29"/>
      <c r="G26" s="29"/>
    </row>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mergeCells count="4">
    <mergeCell ref="D2:H2"/>
    <mergeCell ref="A5:J5"/>
    <mergeCell ref="A13:J13"/>
    <mergeCell ref="A15:J15"/>
  </mergeCells>
  <hyperlinks>
    <hyperlink r:id="rId1" ref="C8"/>
    <hyperlink r:id="rId2" ref="C9"/>
    <hyperlink r:id="rId3" ref="C10"/>
  </hyperlinks>
  <printOptions/>
  <pageMargins bottom="0.75" footer="0.0" header="0.0" left="0.7" right="0.7" top="0.75"/>
  <pageSetup orientation="landscape"/>
  <drawing r:id="rId4"/>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3" width="19.13"/>
    <col customWidth="1" min="4" max="4" width="21.88"/>
    <col customWidth="1" min="5" max="6" width="17.0"/>
    <col customWidth="1" min="7" max="7" width="18.0"/>
    <col customWidth="1" min="8" max="8" width="17.0"/>
    <col customWidth="1" min="9" max="10" width="19.13"/>
    <col customWidth="1" min="11" max="26" width="10.0"/>
  </cols>
  <sheetData>
    <row r="1" ht="12.75" customHeight="1"/>
    <row r="2" ht="27.75" customHeight="1">
      <c r="D2" s="2" t="s">
        <v>1</v>
      </c>
    </row>
    <row r="3" ht="12.75" customHeight="1"/>
    <row r="4" ht="12.75" customHeight="1"/>
    <row r="5" ht="43.5" customHeight="1">
      <c r="A5" s="3" t="s">
        <v>2</v>
      </c>
      <c r="B5" s="4"/>
      <c r="C5" s="4"/>
      <c r="D5" s="4"/>
      <c r="E5" s="4"/>
      <c r="F5" s="4"/>
      <c r="G5" s="4"/>
      <c r="H5" s="4"/>
      <c r="I5" s="4"/>
      <c r="J5" s="5"/>
    </row>
    <row r="6" ht="15.75" customHeight="1"/>
    <row r="7" ht="75.75" customHeight="1">
      <c r="A7" s="6" t="s">
        <v>3</v>
      </c>
      <c r="B7" s="30" t="s">
        <v>30</v>
      </c>
      <c r="C7" s="30" t="s">
        <v>31</v>
      </c>
      <c r="D7" s="30" t="s">
        <v>32</v>
      </c>
      <c r="E7" s="30" t="s">
        <v>33</v>
      </c>
      <c r="F7" s="31" t="s">
        <v>34</v>
      </c>
      <c r="G7" s="9" t="s">
        <v>35</v>
      </c>
      <c r="H7" s="30" t="s">
        <v>10</v>
      </c>
      <c r="I7" s="30" t="s">
        <v>36</v>
      </c>
      <c r="J7" s="30" t="s">
        <v>37</v>
      </c>
      <c r="K7" s="10"/>
      <c r="L7" s="10"/>
      <c r="M7" s="10"/>
      <c r="N7" s="10"/>
      <c r="O7" s="10"/>
      <c r="P7" s="10"/>
      <c r="Q7" s="10"/>
      <c r="R7" s="10"/>
      <c r="S7" s="10"/>
      <c r="T7" s="10"/>
      <c r="U7" s="10"/>
      <c r="V7" s="10"/>
      <c r="W7" s="10"/>
      <c r="X7" s="10"/>
      <c r="Y7" s="10"/>
      <c r="Z7" s="10"/>
    </row>
    <row r="8" ht="75.0" customHeight="1">
      <c r="A8" s="30" t="s">
        <v>13</v>
      </c>
      <c r="B8" s="32" t="s">
        <v>38</v>
      </c>
      <c r="C8" s="33" t="s">
        <v>39</v>
      </c>
      <c r="D8" s="34" t="s">
        <v>40</v>
      </c>
      <c r="E8" s="35">
        <v>620000.0</v>
      </c>
      <c r="F8" s="36">
        <v>135907.0</v>
      </c>
      <c r="G8" s="37">
        <v>182.0</v>
      </c>
      <c r="H8" s="38">
        <v>3800.0</v>
      </c>
      <c r="I8" s="39" t="s">
        <v>17</v>
      </c>
      <c r="J8" s="40" t="s">
        <v>41</v>
      </c>
    </row>
    <row r="9" ht="50.25" customHeight="1">
      <c r="A9" s="30" t="s">
        <v>19</v>
      </c>
      <c r="B9" s="32" t="s">
        <v>42</v>
      </c>
      <c r="C9" s="41" t="s">
        <v>43</v>
      </c>
      <c r="D9" s="42" t="s">
        <v>44</v>
      </c>
      <c r="E9" s="35">
        <v>590000.0</v>
      </c>
      <c r="F9" s="36">
        <v>132810.0</v>
      </c>
      <c r="G9" s="37">
        <v>173.0</v>
      </c>
      <c r="H9" s="38">
        <v>3800.0</v>
      </c>
      <c r="I9" s="39" t="s">
        <v>17</v>
      </c>
      <c r="J9" s="43" t="s">
        <v>45</v>
      </c>
    </row>
    <row r="10" ht="50.25" customHeight="1">
      <c r="A10" s="30" t="s">
        <v>24</v>
      </c>
      <c r="B10" s="32" t="s">
        <v>46</v>
      </c>
      <c r="C10" s="44" t="s">
        <v>47</v>
      </c>
      <c r="D10" s="45" t="s">
        <v>48</v>
      </c>
      <c r="E10" s="46">
        <v>665000.0</v>
      </c>
      <c r="F10" s="36">
        <v>227981.0</v>
      </c>
      <c r="G10" s="37">
        <v>196.0</v>
      </c>
      <c r="H10" s="38">
        <v>3800.0</v>
      </c>
      <c r="I10" s="39" t="s">
        <v>17</v>
      </c>
      <c r="J10" s="43" t="s">
        <v>49</v>
      </c>
    </row>
    <row r="11" ht="15.0" hidden="1" customHeight="1">
      <c r="A11" s="25"/>
      <c r="B11" s="26"/>
      <c r="C11" s="26"/>
      <c r="D11" s="26"/>
      <c r="E11" s="26"/>
      <c r="F11" s="26"/>
      <c r="G11" s="26"/>
      <c r="H11" s="26"/>
      <c r="I11" s="26"/>
      <c r="J11" s="26"/>
    </row>
    <row r="12" ht="12.75" customHeight="1"/>
    <row r="13" ht="138.75" customHeight="1">
      <c r="A13" s="27" t="s">
        <v>50</v>
      </c>
      <c r="B13" s="4"/>
      <c r="C13" s="4"/>
      <c r="D13" s="4"/>
      <c r="E13" s="4"/>
      <c r="F13" s="4"/>
      <c r="G13" s="4"/>
      <c r="H13" s="4"/>
      <c r="I13" s="4"/>
      <c r="J13" s="5"/>
    </row>
    <row r="14" ht="12.75" customHeight="1"/>
    <row r="15" ht="75.0" customHeight="1">
      <c r="A15" s="27" t="s">
        <v>51</v>
      </c>
      <c r="B15" s="4"/>
      <c r="C15" s="4"/>
      <c r="D15" s="4"/>
      <c r="E15" s="4"/>
      <c r="F15" s="4"/>
      <c r="G15" s="4"/>
      <c r="H15" s="4"/>
      <c r="I15" s="4"/>
      <c r="J15" s="5"/>
    </row>
    <row r="16" ht="12.75" customHeight="1"/>
    <row r="17" ht="12.75" customHeight="1"/>
    <row r="18" ht="12.75" customHeight="1"/>
    <row r="19" ht="12.75" customHeight="1"/>
    <row r="20" ht="12.75" customHeight="1"/>
    <row r="21" ht="12.75" customHeight="1"/>
    <row r="22" ht="12.75" customHeight="1"/>
    <row r="23" ht="12.75" customHeight="1"/>
    <row r="24" ht="12.75" customHeight="1"/>
    <row r="25" ht="12.75" customHeight="1"/>
    <row r="26" ht="12.75" customHeight="1">
      <c r="D26" s="28"/>
      <c r="E26" s="28"/>
      <c r="F26" s="29"/>
      <c r="G26" s="29"/>
    </row>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mergeCells count="4">
    <mergeCell ref="D2:H2"/>
    <mergeCell ref="A5:J5"/>
    <mergeCell ref="A13:J13"/>
    <mergeCell ref="A15:J15"/>
  </mergeCells>
  <hyperlinks>
    <hyperlink r:id="rId1" ref="C8"/>
  </hyperlinks>
  <printOptions/>
  <pageMargins bottom="0.75" footer="0.0" header="0.0" left="0.7" right="0.7" top="0.75"/>
  <pageSetup orientation="landscape"/>
  <drawing r:id="rId2"/>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3" width="19.13"/>
    <col customWidth="1" min="4" max="4" width="21.88"/>
    <col customWidth="1" min="5" max="6" width="17.0"/>
    <col customWidth="1" min="7" max="7" width="18.0"/>
    <col customWidth="1" min="8" max="8" width="17.0"/>
    <col customWidth="1" min="9" max="10" width="19.13"/>
    <col customWidth="1" min="11" max="26" width="10.0"/>
  </cols>
  <sheetData>
    <row r="1" ht="12.75" customHeight="1"/>
    <row r="2" ht="27.75" customHeight="1">
      <c r="D2" s="2" t="s">
        <v>1</v>
      </c>
    </row>
    <row r="3" ht="12.75" customHeight="1"/>
    <row r="4" ht="12.75" customHeight="1"/>
    <row r="5" ht="43.5" customHeight="1">
      <c r="A5" s="3" t="s">
        <v>2</v>
      </c>
      <c r="B5" s="4"/>
      <c r="C5" s="4"/>
      <c r="D5" s="4"/>
      <c r="E5" s="4"/>
      <c r="F5" s="4"/>
      <c r="G5" s="4"/>
      <c r="H5" s="4"/>
      <c r="I5" s="4"/>
      <c r="J5" s="5"/>
    </row>
    <row r="6" ht="15.75" customHeight="1"/>
    <row r="7" ht="75.75" customHeight="1">
      <c r="A7" s="47" t="s">
        <v>3</v>
      </c>
      <c r="B7" s="48" t="s">
        <v>52</v>
      </c>
      <c r="C7" s="48" t="s">
        <v>53</v>
      </c>
      <c r="D7" s="48" t="s">
        <v>54</v>
      </c>
      <c r="E7" s="48" t="s">
        <v>55</v>
      </c>
      <c r="F7" s="49" t="s">
        <v>56</v>
      </c>
      <c r="G7" s="50" t="s">
        <v>57</v>
      </c>
      <c r="H7" s="48" t="s">
        <v>10</v>
      </c>
      <c r="I7" s="48" t="s">
        <v>58</v>
      </c>
      <c r="J7" s="48" t="s">
        <v>59</v>
      </c>
      <c r="K7" s="10"/>
      <c r="L7" s="10"/>
      <c r="M7" s="10"/>
      <c r="N7" s="10"/>
      <c r="O7" s="10"/>
      <c r="P7" s="10"/>
      <c r="Q7" s="10"/>
      <c r="R7" s="10"/>
      <c r="S7" s="10"/>
      <c r="T7" s="10"/>
      <c r="U7" s="10"/>
      <c r="V7" s="10"/>
      <c r="W7" s="10"/>
      <c r="X7" s="10"/>
      <c r="Y7" s="10"/>
      <c r="Z7" s="10"/>
    </row>
    <row r="8" ht="50.25" customHeight="1">
      <c r="A8" s="11" t="s">
        <v>13</v>
      </c>
      <c r="B8" s="34" t="s">
        <v>60</v>
      </c>
      <c r="C8" s="44" t="s">
        <v>61</v>
      </c>
      <c r="D8" s="14" t="s">
        <v>62</v>
      </c>
      <c r="E8" s="46">
        <v>179900.0</v>
      </c>
      <c r="F8" s="35">
        <v>214081.0</v>
      </c>
      <c r="G8" s="37">
        <v>54.88</v>
      </c>
      <c r="H8" s="38">
        <v>3800.0</v>
      </c>
      <c r="I8" s="39" t="s">
        <v>63</v>
      </c>
      <c r="J8" s="51" t="s">
        <v>64</v>
      </c>
    </row>
    <row r="9" ht="77.25" customHeight="1">
      <c r="A9" s="11" t="s">
        <v>19</v>
      </c>
      <c r="B9" s="52" t="s">
        <v>65</v>
      </c>
      <c r="C9" s="44" t="s">
        <v>66</v>
      </c>
      <c r="D9" s="53" t="s">
        <v>67</v>
      </c>
      <c r="E9" s="46">
        <v>329900.0</v>
      </c>
      <c r="F9" s="54">
        <v>392581.0</v>
      </c>
      <c r="G9" s="37">
        <v>100.66</v>
      </c>
      <c r="H9" s="38">
        <v>3800.0</v>
      </c>
      <c r="I9" s="39" t="s">
        <v>63</v>
      </c>
      <c r="J9" s="55" t="s">
        <v>68</v>
      </c>
    </row>
    <row r="10" ht="50.25" customHeight="1">
      <c r="A10" s="11" t="s">
        <v>24</v>
      </c>
      <c r="B10" s="56" t="s">
        <v>69</v>
      </c>
      <c r="C10" s="34" t="s">
        <v>70</v>
      </c>
      <c r="D10" s="56" t="s">
        <v>71</v>
      </c>
      <c r="E10" s="57">
        <v>249000.0</v>
      </c>
      <c r="F10" s="57">
        <v>296310.0</v>
      </c>
      <c r="G10" s="37">
        <v>75.98</v>
      </c>
      <c r="H10" s="38">
        <v>3800.0</v>
      </c>
      <c r="I10" s="39" t="s">
        <v>63</v>
      </c>
      <c r="J10" s="55" t="s">
        <v>72</v>
      </c>
    </row>
    <row r="11" ht="15.0" hidden="1" customHeight="1">
      <c r="A11" s="25"/>
      <c r="B11" s="58"/>
      <c r="C11" s="39">
        <v>3.00892144E9</v>
      </c>
      <c r="D11" s="58"/>
      <c r="E11" s="58"/>
      <c r="F11" s="58"/>
      <c r="G11" s="59"/>
      <c r="H11" s="59"/>
      <c r="I11" s="59"/>
      <c r="J11" s="59"/>
    </row>
    <row r="12" ht="12.75" customHeight="1"/>
    <row r="13" ht="138.75" customHeight="1">
      <c r="A13" s="27" t="s">
        <v>73</v>
      </c>
      <c r="B13" s="4"/>
      <c r="C13" s="4"/>
      <c r="D13" s="4"/>
      <c r="E13" s="4"/>
      <c r="F13" s="4"/>
      <c r="G13" s="4"/>
      <c r="H13" s="4"/>
      <c r="I13" s="4"/>
      <c r="J13" s="5"/>
    </row>
    <row r="14" ht="12.75" customHeight="1"/>
    <row r="15" ht="75.0" customHeight="1">
      <c r="A15" s="27" t="s">
        <v>74</v>
      </c>
      <c r="B15" s="4"/>
      <c r="C15" s="4"/>
      <c r="D15" s="4"/>
      <c r="E15" s="4"/>
      <c r="F15" s="4"/>
      <c r="G15" s="4"/>
      <c r="H15" s="4"/>
      <c r="I15" s="4"/>
      <c r="J15" s="5"/>
    </row>
    <row r="16" ht="12.75" customHeight="1"/>
    <row r="17" ht="12.75" customHeight="1"/>
    <row r="18" ht="12.75" customHeight="1"/>
    <row r="19" ht="12.75" customHeight="1"/>
    <row r="20" ht="12.75" customHeight="1"/>
    <row r="21" ht="12.75" customHeight="1"/>
    <row r="22" ht="12.75" customHeight="1"/>
    <row r="23" ht="12.75" customHeight="1"/>
    <row r="24" ht="12.75" customHeight="1"/>
    <row r="25" ht="12.75" customHeight="1"/>
    <row r="26" ht="12.75" customHeight="1">
      <c r="D26" s="28"/>
      <c r="E26" s="28"/>
      <c r="F26" s="29"/>
      <c r="G26" s="29"/>
    </row>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mergeCells count="8">
    <mergeCell ref="D2:H2"/>
    <mergeCell ref="A5:J5"/>
    <mergeCell ref="B10:B11"/>
    <mergeCell ref="D10:D11"/>
    <mergeCell ref="E10:E11"/>
    <mergeCell ref="F10:F11"/>
    <mergeCell ref="A13:J13"/>
    <mergeCell ref="A15:J15"/>
  </mergeCells>
  <printOptions/>
  <pageMargins bottom="0.75" footer="0.0" header="0.0" left="0.7" right="0.7" top="0.75"/>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3" width="19.13"/>
    <col customWidth="1" min="4" max="4" width="21.88"/>
    <col customWidth="1" min="5" max="6" width="17.0"/>
    <col customWidth="1" min="7" max="7" width="18.0"/>
    <col customWidth="1" min="8" max="8" width="17.0"/>
    <col customWidth="1" min="9" max="10" width="19.13"/>
    <col customWidth="1" min="11" max="26" width="10.0"/>
  </cols>
  <sheetData>
    <row r="1" ht="12.75" customHeight="1"/>
    <row r="2" ht="27.75" customHeight="1">
      <c r="D2" s="2" t="s">
        <v>1</v>
      </c>
    </row>
    <row r="3" ht="12.75" customHeight="1"/>
    <row r="4" ht="12.75" customHeight="1"/>
    <row r="5" ht="43.5" customHeight="1">
      <c r="A5" s="3" t="s">
        <v>2</v>
      </c>
      <c r="B5" s="4"/>
      <c r="C5" s="4"/>
      <c r="D5" s="4"/>
      <c r="E5" s="4"/>
      <c r="F5" s="4"/>
      <c r="G5" s="4"/>
      <c r="H5" s="4"/>
      <c r="I5" s="4"/>
      <c r="J5" s="5"/>
    </row>
    <row r="6" ht="15.75" customHeight="1"/>
    <row r="7" ht="75.75" customHeight="1">
      <c r="A7" s="6" t="s">
        <v>3</v>
      </c>
      <c r="B7" s="48" t="s">
        <v>75</v>
      </c>
      <c r="C7" s="48" t="s">
        <v>76</v>
      </c>
      <c r="D7" s="48" t="s">
        <v>77</v>
      </c>
      <c r="E7" s="48" t="s">
        <v>78</v>
      </c>
      <c r="F7" s="49" t="s">
        <v>79</v>
      </c>
      <c r="G7" s="50" t="s">
        <v>80</v>
      </c>
      <c r="H7" s="48" t="s">
        <v>10</v>
      </c>
      <c r="I7" s="48" t="s">
        <v>81</v>
      </c>
      <c r="J7" s="48" t="s">
        <v>82</v>
      </c>
      <c r="K7" s="10"/>
      <c r="L7" s="10"/>
      <c r="M7" s="10"/>
      <c r="N7" s="10"/>
      <c r="O7" s="10"/>
      <c r="P7" s="10"/>
      <c r="Q7" s="10"/>
      <c r="R7" s="10"/>
      <c r="S7" s="10"/>
      <c r="T7" s="10"/>
      <c r="U7" s="10"/>
      <c r="V7" s="10"/>
      <c r="W7" s="10"/>
      <c r="X7" s="10"/>
      <c r="Y7" s="10"/>
      <c r="Z7" s="10"/>
    </row>
    <row r="8" ht="50.25" customHeight="1">
      <c r="A8" s="60" t="s">
        <v>13</v>
      </c>
      <c r="B8" s="34" t="s">
        <v>83</v>
      </c>
      <c r="C8" s="61" t="s">
        <v>84</v>
      </c>
      <c r="D8" s="34" t="s">
        <v>85</v>
      </c>
      <c r="E8" s="62">
        <v>189900.0</v>
      </c>
      <c r="F8" s="63">
        <f t="shared" ref="F8:F10" si="1">E8*1.19</f>
        <v>225981</v>
      </c>
      <c r="G8" s="64">
        <v>58.81</v>
      </c>
      <c r="H8" s="38">
        <v>3800.0</v>
      </c>
      <c r="I8" s="39" t="s">
        <v>63</v>
      </c>
      <c r="J8" s="65" t="s">
        <v>86</v>
      </c>
    </row>
    <row r="9" ht="50.25" customHeight="1">
      <c r="A9" s="60" t="s">
        <v>19</v>
      </c>
      <c r="B9" s="34" t="s">
        <v>83</v>
      </c>
      <c r="C9" s="61" t="s">
        <v>87</v>
      </c>
      <c r="D9" s="66" t="s">
        <v>88</v>
      </c>
      <c r="E9" s="62">
        <v>200000.0</v>
      </c>
      <c r="F9" s="63">
        <f t="shared" si="1"/>
        <v>238000</v>
      </c>
      <c r="G9" s="64">
        <v>31.93</v>
      </c>
      <c r="H9" s="38">
        <v>3800.0</v>
      </c>
      <c r="I9" s="39" t="s">
        <v>63</v>
      </c>
      <c r="J9" s="65" t="s">
        <v>89</v>
      </c>
    </row>
    <row r="10" ht="50.25" customHeight="1">
      <c r="A10" s="60" t="s">
        <v>24</v>
      </c>
      <c r="B10" s="34" t="s">
        <v>90</v>
      </c>
      <c r="C10" s="67" t="s">
        <v>91</v>
      </c>
      <c r="D10" s="34" t="s">
        <v>92</v>
      </c>
      <c r="E10" s="68">
        <v>335000.0</v>
      </c>
      <c r="F10" s="63">
        <f t="shared" si="1"/>
        <v>398650</v>
      </c>
      <c r="G10" s="64">
        <v>103.74</v>
      </c>
      <c r="H10" s="38">
        <v>3800.0</v>
      </c>
      <c r="I10" s="39" t="s">
        <v>63</v>
      </c>
      <c r="J10" s="34" t="s">
        <v>93</v>
      </c>
    </row>
    <row r="11" ht="15.0" hidden="1" customHeight="1">
      <c r="A11" s="25"/>
      <c r="B11" s="69"/>
      <c r="C11" s="69"/>
      <c r="D11" s="69"/>
      <c r="E11" s="69"/>
      <c r="F11" s="69"/>
      <c r="G11" s="69"/>
      <c r="H11" s="69"/>
      <c r="I11" s="69"/>
      <c r="J11" s="69"/>
    </row>
    <row r="12" ht="12.75" customHeight="1"/>
    <row r="13" ht="138.75" customHeight="1">
      <c r="A13" s="27" t="s">
        <v>94</v>
      </c>
      <c r="B13" s="4"/>
      <c r="C13" s="4"/>
      <c r="D13" s="4"/>
      <c r="E13" s="4"/>
      <c r="F13" s="4"/>
      <c r="G13" s="4"/>
      <c r="H13" s="4"/>
      <c r="I13" s="4"/>
      <c r="J13" s="5"/>
    </row>
    <row r="14" ht="12.75" customHeight="1"/>
    <row r="15" ht="75.0" customHeight="1">
      <c r="A15" s="27" t="s">
        <v>95</v>
      </c>
      <c r="B15" s="4"/>
      <c r="C15" s="4"/>
      <c r="D15" s="4"/>
      <c r="E15" s="4"/>
      <c r="F15" s="4"/>
      <c r="G15" s="4"/>
      <c r="H15" s="4"/>
      <c r="I15" s="4"/>
      <c r="J15" s="5"/>
    </row>
    <row r="16" ht="12.75" customHeight="1"/>
    <row r="17" ht="12.75" customHeight="1"/>
    <row r="18" ht="12.75" customHeight="1"/>
    <row r="19" ht="12.75" customHeight="1"/>
    <row r="20" ht="12.75" customHeight="1"/>
    <row r="21" ht="12.75" customHeight="1"/>
    <row r="22" ht="12.75" customHeight="1"/>
    <row r="23" ht="12.75" customHeight="1"/>
    <row r="24" ht="12.75" customHeight="1"/>
    <row r="25" ht="12.75" customHeight="1"/>
    <row r="26" ht="12.75" customHeight="1">
      <c r="D26" s="28"/>
      <c r="E26" s="28"/>
      <c r="F26" s="29"/>
      <c r="G26" s="29"/>
    </row>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mergeCells count="4">
    <mergeCell ref="D2:H2"/>
    <mergeCell ref="A5:J5"/>
    <mergeCell ref="A13:J13"/>
    <mergeCell ref="A15:J15"/>
  </mergeCells>
  <hyperlinks>
    <hyperlink r:id="rId1" ref="C8"/>
    <hyperlink r:id="rId2" ref="C9"/>
    <hyperlink r:id="rId3" ref="C10"/>
  </hyperlinks>
  <printOptions/>
  <pageMargins bottom="0.75" footer="0.0" header="0.0" left="0.7" right="0.7" top="0.75"/>
  <pageSetup orientation="landscape"/>
  <drawing r:id="rId4"/>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3" width="19.13"/>
    <col customWidth="1" min="4" max="4" width="21.88"/>
    <col customWidth="1" min="5" max="6" width="17.0"/>
    <col customWidth="1" min="7" max="7" width="18.0"/>
    <col customWidth="1" min="8" max="8" width="17.0"/>
    <col customWidth="1" min="9" max="10" width="19.13"/>
    <col customWidth="1" min="11" max="26" width="10.0"/>
  </cols>
  <sheetData>
    <row r="1" ht="12.75" customHeight="1"/>
    <row r="2" ht="27.75" customHeight="1">
      <c r="D2" s="2" t="s">
        <v>1</v>
      </c>
    </row>
    <row r="3" ht="12.75" customHeight="1"/>
    <row r="4" ht="12.75" customHeight="1"/>
    <row r="5" ht="43.5" customHeight="1">
      <c r="A5" s="3" t="s">
        <v>2</v>
      </c>
      <c r="B5" s="4"/>
      <c r="C5" s="4"/>
      <c r="D5" s="4"/>
      <c r="E5" s="4"/>
      <c r="F5" s="4"/>
      <c r="G5" s="4"/>
      <c r="H5" s="4"/>
      <c r="I5" s="4"/>
      <c r="J5" s="5"/>
    </row>
    <row r="6" ht="15.75" customHeight="1"/>
    <row r="7" ht="75.75" customHeight="1">
      <c r="A7" s="6" t="s">
        <v>3</v>
      </c>
      <c r="B7" s="48" t="s">
        <v>96</v>
      </c>
      <c r="C7" s="48" t="s">
        <v>97</v>
      </c>
      <c r="D7" s="48" t="s">
        <v>98</v>
      </c>
      <c r="E7" s="48" t="s">
        <v>99</v>
      </c>
      <c r="F7" s="49" t="s">
        <v>100</v>
      </c>
      <c r="G7" s="70" t="s">
        <v>101</v>
      </c>
      <c r="H7" s="48" t="s">
        <v>10</v>
      </c>
      <c r="I7" s="48" t="s">
        <v>102</v>
      </c>
      <c r="J7" s="48" t="s">
        <v>103</v>
      </c>
      <c r="K7" s="10"/>
      <c r="L7" s="10"/>
      <c r="M7" s="10"/>
      <c r="N7" s="10"/>
      <c r="O7" s="10"/>
      <c r="P7" s="10"/>
      <c r="Q7" s="10"/>
      <c r="R7" s="10"/>
      <c r="S7" s="10"/>
      <c r="T7" s="10"/>
      <c r="U7" s="10"/>
      <c r="V7" s="10"/>
      <c r="W7" s="10"/>
      <c r="X7" s="10"/>
      <c r="Y7" s="10"/>
      <c r="Z7" s="10"/>
    </row>
    <row r="8" ht="50.25" customHeight="1">
      <c r="A8" s="60" t="s">
        <v>13</v>
      </c>
      <c r="B8" s="39" t="s">
        <v>104</v>
      </c>
      <c r="C8" s="61" t="s">
        <v>105</v>
      </c>
      <c r="D8" s="34" t="s">
        <v>106</v>
      </c>
      <c r="E8" s="68">
        <v>4798320.0</v>
      </c>
      <c r="F8" s="68">
        <v>5710001.0</v>
      </c>
      <c r="G8" s="37">
        <f>(F8)/3900</f>
        <v>1464.102821</v>
      </c>
      <c r="H8" s="38">
        <v>5710.0</v>
      </c>
      <c r="I8" s="39" t="s">
        <v>63</v>
      </c>
      <c r="J8" s="71" t="s">
        <v>107</v>
      </c>
    </row>
    <row r="9" ht="50.25" customHeight="1">
      <c r="A9" s="60" t="s">
        <v>19</v>
      </c>
      <c r="B9" s="72" t="s">
        <v>108</v>
      </c>
      <c r="C9" s="61" t="s">
        <v>109</v>
      </c>
      <c r="D9" s="14" t="s">
        <v>110</v>
      </c>
      <c r="E9" s="62">
        <v>5882353.0</v>
      </c>
      <c r="F9" s="68">
        <v>7000000.0</v>
      </c>
      <c r="G9" s="37">
        <v>1795.0</v>
      </c>
      <c r="H9" s="38">
        <v>7.00000007E8</v>
      </c>
      <c r="I9" s="39" t="s">
        <v>63</v>
      </c>
      <c r="J9" s="65" t="s">
        <v>111</v>
      </c>
    </row>
    <row r="10" ht="50.25" customHeight="1">
      <c r="A10" s="60" t="s">
        <v>24</v>
      </c>
      <c r="B10" s="39" t="s">
        <v>108</v>
      </c>
      <c r="C10" s="61" t="s">
        <v>112</v>
      </c>
      <c r="D10" s="65" t="s">
        <v>113</v>
      </c>
      <c r="E10" s="62">
        <v>8883865.0</v>
      </c>
      <c r="F10" s="68">
        <v>1.0571799E7</v>
      </c>
      <c r="G10" s="37">
        <v>2711.0</v>
      </c>
      <c r="H10" s="38">
        <v>1.057179935E9</v>
      </c>
      <c r="I10" s="39" t="s">
        <v>63</v>
      </c>
      <c r="J10" s="34" t="s">
        <v>114</v>
      </c>
    </row>
    <row r="11" ht="15.0" hidden="1" customHeight="1">
      <c r="A11" s="25"/>
      <c r="B11" s="69"/>
      <c r="C11" s="69"/>
      <c r="D11" s="69"/>
      <c r="E11" s="69"/>
      <c r="F11" s="69"/>
      <c r="G11" s="69"/>
      <c r="H11" s="69"/>
      <c r="I11" s="69"/>
      <c r="J11" s="69"/>
    </row>
    <row r="12" ht="12.75" customHeight="1"/>
    <row r="13" ht="138.75" customHeight="1">
      <c r="A13" s="27" t="s">
        <v>115</v>
      </c>
      <c r="B13" s="4"/>
      <c r="C13" s="4"/>
      <c r="D13" s="4"/>
      <c r="E13" s="4"/>
      <c r="F13" s="4"/>
      <c r="G13" s="4"/>
      <c r="H13" s="4"/>
      <c r="I13" s="4"/>
      <c r="J13" s="5"/>
    </row>
    <row r="14" ht="12.75" customHeight="1"/>
    <row r="15" ht="75.0" customHeight="1">
      <c r="A15" s="27" t="s">
        <v>116</v>
      </c>
      <c r="B15" s="4"/>
      <c r="C15" s="4"/>
      <c r="D15" s="4"/>
      <c r="E15" s="4"/>
      <c r="F15" s="4"/>
      <c r="G15" s="4"/>
      <c r="H15" s="4"/>
      <c r="I15" s="4"/>
      <c r="J15" s="5"/>
    </row>
    <row r="16" ht="12.75" customHeight="1"/>
    <row r="17" ht="12.75" customHeight="1"/>
    <row r="18" ht="12.75" customHeight="1"/>
    <row r="19" ht="12.75" customHeight="1"/>
    <row r="20" ht="12.75" customHeight="1"/>
    <row r="21" ht="12.75" customHeight="1"/>
    <row r="22" ht="12.75" customHeight="1"/>
    <row r="23" ht="12.75" customHeight="1"/>
    <row r="24" ht="12.75" customHeight="1"/>
    <row r="25" ht="12.75" customHeight="1"/>
    <row r="26" ht="12.75" customHeight="1">
      <c r="D26" s="28"/>
      <c r="E26" s="28"/>
      <c r="F26" s="29"/>
      <c r="G26" s="29"/>
    </row>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mergeCells count="4">
    <mergeCell ref="D2:H2"/>
    <mergeCell ref="A5:J5"/>
    <mergeCell ref="A13:J13"/>
    <mergeCell ref="A15:J15"/>
  </mergeCells>
  <hyperlinks>
    <hyperlink r:id="rId1" location="polycard_client=search-nordic&amp;search_layout=stack&amp;position=4&amp;type=product&amp;tracking_id=4fc7c903-2203-44d9-aebc-ba122640b93a&amp;wid=MCO1318922175&amp;sid=search" ref="C8"/>
    <hyperlink r:id="rId2" location="polycard_client=search-nordic&amp;search_layout=stack&amp;position=17&amp;type=product&amp;tracking_id=829c51ba-fcda-4fae-8e77-239ccea5cbc7&amp;wid=MCO1536679709&amp;sid=search" ref="C9"/>
    <hyperlink r:id="rId3" ref="C10"/>
  </hyperlinks>
  <printOptions/>
  <pageMargins bottom="0.75" footer="0.0" header="0.0" left="0.7" right="0.7" top="0.75"/>
  <pageSetup orientation="landscape"/>
  <drawing r:id="rId4"/>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3" width="19.13"/>
    <col customWidth="1" min="4" max="4" width="21.88"/>
    <col customWidth="1" min="5" max="6" width="17.0"/>
    <col customWidth="1" min="7" max="7" width="18.0"/>
    <col customWidth="1" min="8" max="8" width="17.0"/>
    <col customWidth="1" min="9" max="10" width="19.13"/>
    <col customWidth="1" min="11" max="26" width="10.0"/>
  </cols>
  <sheetData>
    <row r="1" ht="12.75" customHeight="1"/>
    <row r="2" ht="27.75" customHeight="1">
      <c r="D2" s="2" t="s">
        <v>1</v>
      </c>
    </row>
    <row r="3" ht="12.75" customHeight="1"/>
    <row r="4" ht="12.75" customHeight="1"/>
    <row r="5" ht="43.5" customHeight="1">
      <c r="A5" s="3" t="s">
        <v>2</v>
      </c>
      <c r="B5" s="4"/>
      <c r="C5" s="4"/>
      <c r="D5" s="4"/>
      <c r="E5" s="4"/>
      <c r="F5" s="4"/>
      <c r="G5" s="4"/>
      <c r="H5" s="4"/>
      <c r="I5" s="4"/>
      <c r="J5" s="5"/>
    </row>
    <row r="6" ht="15.75" customHeight="1"/>
    <row r="7" ht="75.75" customHeight="1">
      <c r="A7" s="6" t="s">
        <v>3</v>
      </c>
      <c r="B7" s="48" t="s">
        <v>117</v>
      </c>
      <c r="C7" s="48" t="s">
        <v>118</v>
      </c>
      <c r="D7" s="48" t="s">
        <v>119</v>
      </c>
      <c r="E7" s="48" t="s">
        <v>120</v>
      </c>
      <c r="F7" s="49" t="s">
        <v>121</v>
      </c>
      <c r="G7" s="50" t="s">
        <v>122</v>
      </c>
      <c r="H7" s="48" t="s">
        <v>10</v>
      </c>
      <c r="I7" s="48" t="s">
        <v>123</v>
      </c>
      <c r="J7" s="48" t="s">
        <v>124</v>
      </c>
      <c r="K7" s="10"/>
      <c r="L7" s="10"/>
      <c r="M7" s="10"/>
      <c r="N7" s="10"/>
      <c r="O7" s="10"/>
      <c r="P7" s="10"/>
      <c r="Q7" s="10"/>
      <c r="R7" s="10"/>
      <c r="S7" s="10"/>
      <c r="T7" s="10"/>
      <c r="U7" s="10"/>
      <c r="V7" s="10"/>
      <c r="W7" s="10"/>
      <c r="X7" s="10"/>
      <c r="Y7" s="10"/>
      <c r="Z7" s="10"/>
    </row>
    <row r="8" ht="50.25" customHeight="1">
      <c r="A8" s="60" t="s">
        <v>13</v>
      </c>
      <c r="B8" s="34" t="s">
        <v>125</v>
      </c>
      <c r="C8" s="61" t="s">
        <v>126</v>
      </c>
      <c r="D8" s="73" t="s">
        <v>127</v>
      </c>
      <c r="E8" s="68">
        <v>179075.0</v>
      </c>
      <c r="F8" s="63">
        <f t="shared" ref="F8:F10" si="1">E8*1.19</f>
        <v>213099.25</v>
      </c>
      <c r="G8" s="37">
        <v>55.59</v>
      </c>
      <c r="H8" s="38">
        <v>3800.0</v>
      </c>
      <c r="I8" s="39" t="s">
        <v>17</v>
      </c>
      <c r="J8" s="65" t="s">
        <v>128</v>
      </c>
    </row>
    <row r="9" ht="50.25" customHeight="1">
      <c r="A9" s="60" t="s">
        <v>19</v>
      </c>
      <c r="B9" s="52" t="s">
        <v>129</v>
      </c>
      <c r="C9" s="61" t="s">
        <v>130</v>
      </c>
      <c r="D9" s="65" t="s">
        <v>131</v>
      </c>
      <c r="E9" s="62">
        <v>250000.0</v>
      </c>
      <c r="F9" s="63">
        <f t="shared" si="1"/>
        <v>297500</v>
      </c>
      <c r="G9" s="37">
        <v>77.61</v>
      </c>
      <c r="H9" s="38">
        <v>3800.0</v>
      </c>
      <c r="I9" s="39" t="s">
        <v>17</v>
      </c>
      <c r="J9" s="65" t="s">
        <v>132</v>
      </c>
    </row>
    <row r="10" ht="50.25" customHeight="1">
      <c r="A10" s="60" t="s">
        <v>24</v>
      </c>
      <c r="B10" s="34" t="s">
        <v>133</v>
      </c>
      <c r="C10" s="61" t="s">
        <v>134</v>
      </c>
      <c r="D10" s="74" t="s">
        <v>135</v>
      </c>
      <c r="E10" s="62">
        <v>243000.0</v>
      </c>
      <c r="F10" s="63">
        <f t="shared" si="1"/>
        <v>289170</v>
      </c>
      <c r="G10" s="37">
        <v>75.25</v>
      </c>
      <c r="H10" s="38">
        <v>3800.0</v>
      </c>
      <c r="I10" s="39" t="s">
        <v>17</v>
      </c>
      <c r="J10" s="75" t="s">
        <v>136</v>
      </c>
    </row>
    <row r="11" ht="15.0" hidden="1" customHeight="1">
      <c r="A11" s="25"/>
      <c r="B11" s="69"/>
      <c r="C11" s="69"/>
      <c r="D11" s="69"/>
      <c r="E11" s="69"/>
      <c r="F11" s="69"/>
      <c r="G11" s="69"/>
      <c r="H11" s="69"/>
      <c r="I11" s="69"/>
      <c r="J11" s="69"/>
    </row>
    <row r="12" ht="12.75" customHeight="1"/>
    <row r="13" ht="138.75" customHeight="1">
      <c r="A13" s="27" t="s">
        <v>137</v>
      </c>
      <c r="B13" s="4"/>
      <c r="C13" s="4"/>
      <c r="D13" s="4"/>
      <c r="E13" s="4"/>
      <c r="F13" s="4"/>
      <c r="G13" s="4"/>
      <c r="H13" s="4"/>
      <c r="I13" s="4"/>
      <c r="J13" s="5"/>
    </row>
    <row r="14" ht="12.75" customHeight="1"/>
    <row r="15" ht="75.0" customHeight="1">
      <c r="A15" s="27" t="s">
        <v>138</v>
      </c>
      <c r="B15" s="4"/>
      <c r="C15" s="4"/>
      <c r="D15" s="4"/>
      <c r="E15" s="4"/>
      <c r="F15" s="4"/>
      <c r="G15" s="4"/>
      <c r="H15" s="4"/>
      <c r="I15" s="4"/>
      <c r="J15" s="5"/>
    </row>
    <row r="16" ht="12.75" customHeight="1"/>
    <row r="17" ht="12.75" customHeight="1"/>
    <row r="18" ht="12.75" customHeight="1"/>
    <row r="19" ht="12.75" customHeight="1"/>
    <row r="20" ht="12.75" customHeight="1"/>
    <row r="21" ht="12.75" customHeight="1"/>
    <row r="22" ht="12.75" customHeight="1"/>
    <row r="23" ht="12.75" customHeight="1"/>
    <row r="24" ht="12.75" customHeight="1"/>
    <row r="25" ht="12.75" customHeight="1"/>
    <row r="26" ht="12.75" customHeight="1">
      <c r="D26" s="28"/>
      <c r="E26" s="28"/>
      <c r="F26" s="29"/>
      <c r="G26" s="29"/>
    </row>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mergeCells count="4">
    <mergeCell ref="D2:H2"/>
    <mergeCell ref="A5:J5"/>
    <mergeCell ref="A13:J13"/>
    <mergeCell ref="A15:J15"/>
  </mergeCells>
  <hyperlinks>
    <hyperlink r:id="rId1" ref="C8"/>
    <hyperlink r:id="rId2" ref="C9"/>
    <hyperlink r:id="rId3" ref="C10"/>
  </hyperlinks>
  <printOptions/>
  <pageMargins bottom="0.75" footer="0.0" header="0.0" left="0.7" right="0.7" top="0.75"/>
  <pageSetup orientation="landscape"/>
  <drawing r:id="rId4"/>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3" width="19.13"/>
    <col customWidth="1" min="4" max="4" width="21.88"/>
    <col customWidth="1" min="5" max="6" width="17.0"/>
    <col customWidth="1" min="7" max="7" width="18.0"/>
    <col customWidth="1" min="8" max="8" width="17.0"/>
    <col customWidth="1" min="9" max="10" width="19.13"/>
    <col customWidth="1" min="11" max="26" width="10.0"/>
  </cols>
  <sheetData>
    <row r="1" ht="12.75" customHeight="1"/>
    <row r="2" ht="27.75" customHeight="1">
      <c r="D2" s="2" t="s">
        <v>1</v>
      </c>
    </row>
    <row r="3" ht="12.75" customHeight="1"/>
    <row r="4" ht="12.75" customHeight="1"/>
    <row r="5" ht="43.5" customHeight="1">
      <c r="A5" s="76">
        <v>0.0</v>
      </c>
      <c r="B5" s="4"/>
      <c r="C5" s="4"/>
      <c r="D5" s="4"/>
      <c r="E5" s="4"/>
      <c r="F5" s="4"/>
      <c r="G5" s="4"/>
      <c r="H5" s="4"/>
      <c r="I5" s="4"/>
      <c r="J5" s="5"/>
    </row>
    <row r="6" ht="15.75" customHeight="1"/>
    <row r="7" ht="75.75" customHeight="1">
      <c r="A7" s="6" t="s">
        <v>3</v>
      </c>
      <c r="B7" s="48" t="s">
        <v>139</v>
      </c>
      <c r="C7" s="48" t="s">
        <v>140</v>
      </c>
      <c r="D7" s="48" t="s">
        <v>141</v>
      </c>
      <c r="E7" s="48" t="s">
        <v>142</v>
      </c>
      <c r="F7" s="49" t="s">
        <v>143</v>
      </c>
      <c r="G7" s="50" t="s">
        <v>144</v>
      </c>
      <c r="H7" s="48" t="s">
        <v>10</v>
      </c>
      <c r="I7" s="48" t="s">
        <v>145</v>
      </c>
      <c r="J7" s="48" t="s">
        <v>146</v>
      </c>
      <c r="K7" s="10"/>
      <c r="L7" s="10"/>
      <c r="M7" s="10"/>
      <c r="N7" s="10"/>
      <c r="O7" s="10"/>
      <c r="P7" s="10"/>
      <c r="Q7" s="10"/>
      <c r="R7" s="10"/>
      <c r="S7" s="10"/>
      <c r="T7" s="10"/>
      <c r="U7" s="10"/>
      <c r="V7" s="10"/>
      <c r="W7" s="10"/>
      <c r="X7" s="10"/>
      <c r="Y7" s="10"/>
      <c r="Z7" s="10"/>
    </row>
    <row r="8" ht="50.25" customHeight="1">
      <c r="A8" s="60" t="s">
        <v>13</v>
      </c>
      <c r="B8" s="39" t="s">
        <v>60</v>
      </c>
      <c r="C8" s="77" t="s">
        <v>147</v>
      </c>
      <c r="D8" s="78" t="s">
        <v>148</v>
      </c>
      <c r="E8" s="79">
        <v>69900.0</v>
      </c>
      <c r="F8" s="63">
        <v>83181.0</v>
      </c>
      <c r="G8" s="80">
        <v>17.7</v>
      </c>
      <c r="H8" s="38">
        <v>3800.0</v>
      </c>
      <c r="I8" s="39" t="s">
        <v>17</v>
      </c>
      <c r="J8" s="81" t="s">
        <v>149</v>
      </c>
    </row>
    <row r="9" ht="50.25" customHeight="1">
      <c r="A9" s="60" t="s">
        <v>19</v>
      </c>
      <c r="B9" s="72" t="s">
        <v>150</v>
      </c>
      <c r="C9" s="77" t="s">
        <v>151</v>
      </c>
      <c r="D9" s="82" t="s">
        <v>152</v>
      </c>
      <c r="E9" s="83">
        <v>159900.0</v>
      </c>
      <c r="F9" s="63">
        <v>190281.0</v>
      </c>
      <c r="G9" s="80">
        <v>40.49</v>
      </c>
      <c r="H9" s="38">
        <v>3800.0</v>
      </c>
      <c r="I9" s="39" t="s">
        <v>17</v>
      </c>
      <c r="J9" s="84" t="s">
        <v>153</v>
      </c>
    </row>
    <row r="10" ht="50.25" customHeight="1">
      <c r="A10" s="60" t="s">
        <v>24</v>
      </c>
      <c r="B10" s="56" t="s">
        <v>65</v>
      </c>
      <c r="C10" s="61" t="s">
        <v>154</v>
      </c>
      <c r="D10" s="85" t="s">
        <v>155</v>
      </c>
      <c r="E10" s="86">
        <v>119900.0</v>
      </c>
      <c r="F10" s="86">
        <v>142681.0</v>
      </c>
      <c r="G10" s="37">
        <v>36.52</v>
      </c>
      <c r="H10" s="38">
        <v>3800.0</v>
      </c>
      <c r="I10" s="39" t="s">
        <v>17</v>
      </c>
      <c r="J10" s="87" t="s">
        <v>156</v>
      </c>
    </row>
    <row r="11" ht="15.0" hidden="1" customHeight="1">
      <c r="A11" s="88"/>
      <c r="B11" s="58"/>
      <c r="C11" s="39" t="s">
        <v>157</v>
      </c>
      <c r="D11" s="58"/>
      <c r="E11" s="58"/>
      <c r="F11" s="58"/>
      <c r="G11" s="59"/>
      <c r="H11" s="59"/>
      <c r="I11" s="59"/>
      <c r="J11" s="59"/>
    </row>
    <row r="12" ht="12.75" customHeight="1"/>
    <row r="13" ht="138.75" customHeight="1">
      <c r="A13" s="27" t="s">
        <v>158</v>
      </c>
      <c r="B13" s="4"/>
      <c r="C13" s="4"/>
      <c r="D13" s="4"/>
      <c r="E13" s="4"/>
      <c r="F13" s="4"/>
      <c r="G13" s="4"/>
      <c r="H13" s="4"/>
      <c r="I13" s="4"/>
      <c r="J13" s="5"/>
    </row>
    <row r="14" ht="12.75" customHeight="1"/>
    <row r="15" ht="75.0" customHeight="1">
      <c r="A15" s="27" t="s">
        <v>159</v>
      </c>
      <c r="B15" s="4"/>
      <c r="C15" s="4"/>
      <c r="D15" s="4"/>
      <c r="E15" s="4"/>
      <c r="F15" s="4"/>
      <c r="G15" s="4"/>
      <c r="H15" s="4"/>
      <c r="I15" s="4"/>
      <c r="J15" s="5"/>
    </row>
    <row r="16" ht="12.75" customHeight="1"/>
    <row r="17" ht="12.75" customHeight="1"/>
    <row r="18" ht="12.75" customHeight="1"/>
    <row r="19" ht="12.75" customHeight="1"/>
    <row r="20" ht="12.75" customHeight="1"/>
    <row r="21" ht="12.75" customHeight="1"/>
    <row r="22" ht="12.75" customHeight="1"/>
    <row r="23" ht="12.75" customHeight="1"/>
    <row r="24" ht="12.75" customHeight="1"/>
    <row r="25" ht="12.75" customHeight="1"/>
    <row r="26" ht="12.75" customHeight="1">
      <c r="D26" s="28"/>
      <c r="E26" s="28"/>
      <c r="F26" s="29"/>
      <c r="G26" s="29"/>
    </row>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mergeCells count="8">
    <mergeCell ref="D2:H2"/>
    <mergeCell ref="A5:J5"/>
    <mergeCell ref="B10:B11"/>
    <mergeCell ref="D10:D11"/>
    <mergeCell ref="E10:E11"/>
    <mergeCell ref="F10:F11"/>
    <mergeCell ref="A13:J13"/>
    <mergeCell ref="A15:J15"/>
  </mergeCells>
  <hyperlinks>
    <hyperlink r:id="rId1" ref="C8"/>
    <hyperlink r:id="rId2" ref="C9"/>
    <hyperlink r:id="rId3" ref="C10"/>
  </hyperlinks>
  <printOptions/>
  <pageMargins bottom="0.75" footer="0.0" header="0.0" left="0.7" right="0.7" top="0.75"/>
  <pageSetup orientation="landscape"/>
  <drawing r:id="rId4"/>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3" width="19.13"/>
    <col customWidth="1" min="4" max="4" width="21.88"/>
    <col customWidth="1" min="5" max="6" width="17.0"/>
    <col customWidth="1" min="7" max="7" width="18.0"/>
    <col customWidth="1" min="8" max="8" width="17.0"/>
    <col customWidth="1" min="9" max="10" width="19.13"/>
    <col customWidth="1" min="11" max="26" width="10.0"/>
  </cols>
  <sheetData>
    <row r="1" ht="12.75" customHeight="1"/>
    <row r="2" ht="27.75" customHeight="1">
      <c r="D2" s="2" t="s">
        <v>1</v>
      </c>
    </row>
    <row r="3" ht="12.75" customHeight="1"/>
    <row r="4" ht="12.75" customHeight="1"/>
    <row r="5" ht="43.5" customHeight="1">
      <c r="A5" s="3" t="s">
        <v>2</v>
      </c>
      <c r="B5" s="4"/>
      <c r="C5" s="4"/>
      <c r="D5" s="4"/>
      <c r="E5" s="4"/>
      <c r="F5" s="4"/>
      <c r="G5" s="4"/>
      <c r="H5" s="4"/>
      <c r="I5" s="4"/>
      <c r="J5" s="5"/>
    </row>
    <row r="6" ht="15.75" customHeight="1"/>
    <row r="7" ht="75.75" customHeight="1">
      <c r="A7" s="6" t="s">
        <v>3</v>
      </c>
      <c r="B7" s="48" t="s">
        <v>160</v>
      </c>
      <c r="C7" s="48" t="s">
        <v>161</v>
      </c>
      <c r="D7" s="48" t="s">
        <v>162</v>
      </c>
      <c r="E7" s="48" t="s">
        <v>163</v>
      </c>
      <c r="F7" s="49" t="s">
        <v>164</v>
      </c>
      <c r="G7" s="50" t="s">
        <v>165</v>
      </c>
      <c r="H7" s="48" t="s">
        <v>10</v>
      </c>
      <c r="I7" s="48" t="s">
        <v>166</v>
      </c>
      <c r="J7" s="48" t="s">
        <v>167</v>
      </c>
      <c r="K7" s="10"/>
      <c r="L7" s="10"/>
      <c r="M7" s="10"/>
      <c r="N7" s="10"/>
      <c r="O7" s="10"/>
      <c r="P7" s="10"/>
      <c r="Q7" s="10"/>
      <c r="R7" s="10"/>
      <c r="S7" s="10"/>
      <c r="T7" s="10"/>
      <c r="U7" s="10"/>
      <c r="V7" s="10"/>
      <c r="W7" s="10"/>
      <c r="X7" s="10"/>
      <c r="Y7" s="10"/>
      <c r="Z7" s="10"/>
    </row>
    <row r="8" ht="50.25" customHeight="1">
      <c r="A8" s="60" t="s">
        <v>13</v>
      </c>
      <c r="B8" s="39" t="s">
        <v>168</v>
      </c>
      <c r="C8" s="77" t="s">
        <v>169</v>
      </c>
      <c r="D8" s="89" t="s">
        <v>170</v>
      </c>
      <c r="E8" s="90">
        <v>34900.0</v>
      </c>
      <c r="F8" s="63">
        <f t="shared" ref="F8:F10" si="1">E8*1.19</f>
        <v>41531</v>
      </c>
      <c r="G8" s="80">
        <v>8.83</v>
      </c>
      <c r="H8" s="91">
        <v>3800.0</v>
      </c>
      <c r="I8" s="92" t="s">
        <v>63</v>
      </c>
      <c r="J8" s="93" t="s">
        <v>149</v>
      </c>
    </row>
    <row r="9" ht="50.25" customHeight="1">
      <c r="A9" s="60" t="s">
        <v>19</v>
      </c>
      <c r="B9" s="72" t="s">
        <v>69</v>
      </c>
      <c r="C9" s="77" t="s">
        <v>171</v>
      </c>
      <c r="D9" s="39" t="s">
        <v>172</v>
      </c>
      <c r="E9" s="63">
        <v>49900.0</v>
      </c>
      <c r="F9" s="63">
        <f t="shared" si="1"/>
        <v>59381</v>
      </c>
      <c r="G9" s="80">
        <v>12.63</v>
      </c>
      <c r="H9" s="91">
        <v>3800.0</v>
      </c>
      <c r="I9" s="92" t="s">
        <v>63</v>
      </c>
      <c r="J9" s="94" t="s">
        <v>153</v>
      </c>
    </row>
    <row r="10" ht="50.25" customHeight="1">
      <c r="A10" s="60" t="s">
        <v>24</v>
      </c>
      <c r="B10" s="34" t="s">
        <v>168</v>
      </c>
      <c r="C10" s="95" t="s">
        <v>154</v>
      </c>
      <c r="D10" s="14" t="s">
        <v>155</v>
      </c>
      <c r="E10" s="62">
        <v>119900.0</v>
      </c>
      <c r="F10" s="63">
        <f t="shared" si="1"/>
        <v>142681</v>
      </c>
      <c r="G10" s="37">
        <v>37.13</v>
      </c>
      <c r="H10" s="91">
        <v>3800.0</v>
      </c>
      <c r="I10" s="92" t="s">
        <v>63</v>
      </c>
      <c r="J10" s="96" t="s">
        <v>156</v>
      </c>
    </row>
    <row r="11" ht="15.0" hidden="1" customHeight="1">
      <c r="A11" s="25"/>
      <c r="B11" s="69"/>
      <c r="C11" s="69"/>
      <c r="D11" s="69"/>
      <c r="E11" s="69"/>
      <c r="F11" s="69"/>
      <c r="G11" s="69"/>
      <c r="H11" s="69"/>
      <c r="I11" s="97" t="s">
        <v>63</v>
      </c>
      <c r="J11" s="69"/>
    </row>
    <row r="12" ht="12.75" customHeight="1"/>
    <row r="13" ht="138.75" customHeight="1">
      <c r="A13" s="27" t="s">
        <v>173</v>
      </c>
      <c r="B13" s="4"/>
      <c r="C13" s="4"/>
      <c r="D13" s="4"/>
      <c r="E13" s="4"/>
      <c r="F13" s="4"/>
      <c r="G13" s="4"/>
      <c r="H13" s="4"/>
      <c r="I13" s="4"/>
      <c r="J13" s="5"/>
    </row>
    <row r="14" ht="12.75" customHeight="1"/>
    <row r="15" ht="75.0" customHeight="1">
      <c r="A15" s="27" t="s">
        <v>174</v>
      </c>
      <c r="B15" s="4"/>
      <c r="C15" s="4"/>
      <c r="D15" s="4"/>
      <c r="E15" s="4"/>
      <c r="F15" s="4"/>
      <c r="G15" s="4"/>
      <c r="H15" s="4"/>
      <c r="I15" s="4"/>
      <c r="J15" s="5"/>
    </row>
    <row r="16" ht="12.75" customHeight="1"/>
    <row r="17" ht="12.75" customHeight="1"/>
    <row r="18" ht="12.75" customHeight="1"/>
    <row r="19" ht="12.75" customHeight="1"/>
    <row r="20" ht="12.75" customHeight="1"/>
    <row r="21" ht="12.75" customHeight="1"/>
    <row r="22" ht="12.75" customHeight="1"/>
    <row r="23" ht="12.75" customHeight="1"/>
    <row r="24" ht="12.75" customHeight="1"/>
    <row r="25" ht="12.75" customHeight="1"/>
    <row r="26" ht="12.75" customHeight="1">
      <c r="D26" s="28"/>
      <c r="E26" s="28"/>
      <c r="F26" s="29"/>
      <c r="G26" s="29"/>
    </row>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mergeCells count="4">
    <mergeCell ref="D2:H2"/>
    <mergeCell ref="A5:J5"/>
    <mergeCell ref="A13:J13"/>
    <mergeCell ref="A15:J15"/>
  </mergeCells>
  <hyperlinks>
    <hyperlink r:id="rId1" ref="C8"/>
    <hyperlink r:id="rId2" ref="C9"/>
    <hyperlink r:id="rId3" ref="C10"/>
  </hyperlinks>
  <printOptions/>
  <pageMargins bottom="0.75" footer="0.0" header="0.0" left="0.7" right="0.7" top="0.75"/>
  <pageSetup orientation="landscape"/>
  <drawing r:id="rId4"/>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3" width="19.13"/>
    <col customWidth="1" min="4" max="4" width="21.88"/>
    <col customWidth="1" min="5" max="6" width="17.0"/>
    <col customWidth="1" min="7" max="7" width="18.0"/>
    <col customWidth="1" min="8" max="8" width="17.0"/>
    <col customWidth="1" min="9" max="10" width="19.13"/>
    <col customWidth="1" min="11" max="26" width="10.0"/>
  </cols>
  <sheetData>
    <row r="1" ht="12.75" customHeight="1"/>
    <row r="2" ht="27.75" customHeight="1">
      <c r="D2" s="2" t="s">
        <v>1</v>
      </c>
    </row>
    <row r="3" ht="12.75" customHeight="1"/>
    <row r="4" ht="12.75" customHeight="1"/>
    <row r="5" ht="43.5" customHeight="1">
      <c r="A5" s="3" t="s">
        <v>2</v>
      </c>
      <c r="B5" s="4"/>
      <c r="C5" s="4"/>
      <c r="D5" s="4"/>
      <c r="E5" s="4"/>
      <c r="F5" s="4"/>
      <c r="G5" s="4"/>
      <c r="H5" s="4"/>
      <c r="I5" s="4"/>
      <c r="J5" s="5"/>
    </row>
    <row r="6" ht="15.75" customHeight="1"/>
    <row r="7" ht="75.75" customHeight="1">
      <c r="A7" s="6" t="s">
        <v>3</v>
      </c>
      <c r="B7" s="48" t="s">
        <v>175</v>
      </c>
      <c r="C7" s="48" t="s">
        <v>176</v>
      </c>
      <c r="D7" s="48" t="s">
        <v>177</v>
      </c>
      <c r="E7" s="48" t="s">
        <v>178</v>
      </c>
      <c r="F7" s="49" t="s">
        <v>179</v>
      </c>
      <c r="G7" s="50" t="s">
        <v>180</v>
      </c>
      <c r="H7" s="48" t="s">
        <v>10</v>
      </c>
      <c r="I7" s="48" t="s">
        <v>181</v>
      </c>
      <c r="J7" s="48" t="s">
        <v>182</v>
      </c>
      <c r="K7" s="10"/>
      <c r="L7" s="10"/>
      <c r="M7" s="10"/>
      <c r="N7" s="10"/>
      <c r="O7" s="10"/>
      <c r="P7" s="10"/>
      <c r="Q7" s="10"/>
      <c r="R7" s="10"/>
      <c r="S7" s="10"/>
      <c r="T7" s="10"/>
      <c r="U7" s="10"/>
      <c r="V7" s="10"/>
      <c r="W7" s="10"/>
      <c r="X7" s="10"/>
      <c r="Y7" s="10"/>
      <c r="Z7" s="10"/>
    </row>
    <row r="8" ht="50.25" customHeight="1">
      <c r="A8" s="60" t="s">
        <v>13</v>
      </c>
      <c r="B8" s="39" t="s">
        <v>183</v>
      </c>
      <c r="C8" s="77" t="s">
        <v>184</v>
      </c>
      <c r="D8" s="98" t="s">
        <v>185</v>
      </c>
      <c r="E8" s="90">
        <v>1599900.0</v>
      </c>
      <c r="F8" s="90">
        <f t="shared" ref="F8:F10" si="1">E8*1.19</f>
        <v>1903881</v>
      </c>
      <c r="G8" s="80">
        <v>405.07</v>
      </c>
      <c r="H8" s="38">
        <v>3800.0</v>
      </c>
      <c r="I8" s="39" t="s">
        <v>63</v>
      </c>
      <c r="J8" s="99" t="s">
        <v>186</v>
      </c>
    </row>
    <row r="9" ht="50.25" customHeight="1">
      <c r="A9" s="60" t="s">
        <v>19</v>
      </c>
      <c r="B9" s="72" t="s">
        <v>65</v>
      </c>
      <c r="C9" s="77" t="s">
        <v>187</v>
      </c>
      <c r="D9" s="82" t="s">
        <v>188</v>
      </c>
      <c r="E9" s="63">
        <v>1999900.0</v>
      </c>
      <c r="F9" s="90">
        <f t="shared" si="1"/>
        <v>2379881</v>
      </c>
      <c r="G9" s="80">
        <f>506.36</f>
        <v>506.36</v>
      </c>
      <c r="H9" s="38">
        <v>3800.0</v>
      </c>
      <c r="I9" s="39" t="s">
        <v>63</v>
      </c>
      <c r="J9" s="100" t="s">
        <v>189</v>
      </c>
    </row>
    <row r="10" ht="50.25" customHeight="1">
      <c r="A10" s="60" t="s">
        <v>24</v>
      </c>
      <c r="B10" s="39" t="s">
        <v>190</v>
      </c>
      <c r="C10" s="77" t="s">
        <v>191</v>
      </c>
      <c r="D10" s="82" t="s">
        <v>192</v>
      </c>
      <c r="E10" s="90">
        <v>2499900.0</v>
      </c>
      <c r="F10" s="90">
        <f t="shared" si="1"/>
        <v>2974881</v>
      </c>
      <c r="G10" s="80">
        <v>633.99</v>
      </c>
      <c r="H10" s="38">
        <v>3800.0</v>
      </c>
      <c r="I10" s="39" t="s">
        <v>63</v>
      </c>
      <c r="J10" s="100" t="s">
        <v>193</v>
      </c>
    </row>
    <row r="11" ht="15.0" hidden="1" customHeight="1">
      <c r="A11" s="25"/>
      <c r="B11" s="69"/>
      <c r="C11" s="69"/>
      <c r="D11" s="69"/>
      <c r="E11" s="69"/>
      <c r="F11" s="69"/>
      <c r="G11" s="69"/>
      <c r="H11" s="69"/>
      <c r="I11" s="69"/>
      <c r="J11" s="69"/>
    </row>
    <row r="12" ht="12.75" customHeight="1"/>
    <row r="13" ht="138.75" customHeight="1">
      <c r="A13" s="27" t="s">
        <v>194</v>
      </c>
      <c r="B13" s="4"/>
      <c r="C13" s="4"/>
      <c r="D13" s="4"/>
      <c r="E13" s="4"/>
      <c r="F13" s="4"/>
      <c r="G13" s="4"/>
      <c r="H13" s="4"/>
      <c r="I13" s="4"/>
      <c r="J13" s="5"/>
    </row>
    <row r="14" ht="12.75" customHeight="1"/>
    <row r="15" ht="75.0" customHeight="1">
      <c r="A15" s="27" t="s">
        <v>195</v>
      </c>
      <c r="B15" s="4"/>
      <c r="C15" s="4"/>
      <c r="D15" s="4"/>
      <c r="E15" s="4"/>
      <c r="F15" s="4"/>
      <c r="G15" s="4"/>
      <c r="H15" s="4"/>
      <c r="I15" s="4"/>
      <c r="J15" s="5"/>
    </row>
    <row r="16" ht="12.75" customHeight="1"/>
    <row r="17" ht="12.75" customHeight="1"/>
    <row r="18" ht="12.75" customHeight="1"/>
    <row r="19" ht="12.75" customHeight="1"/>
    <row r="20" ht="12.75" customHeight="1"/>
    <row r="21" ht="12.75" customHeight="1"/>
    <row r="22" ht="12.75" customHeight="1"/>
    <row r="23" ht="12.75" customHeight="1"/>
    <row r="24" ht="12.75" customHeight="1"/>
    <row r="25" ht="12.75" customHeight="1"/>
    <row r="26" ht="12.75" customHeight="1">
      <c r="D26" s="28"/>
      <c r="E26" s="28"/>
      <c r="F26" s="29"/>
      <c r="G26" s="29"/>
    </row>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mergeCells count="4">
    <mergeCell ref="D2:H2"/>
    <mergeCell ref="A5:J5"/>
    <mergeCell ref="A13:J13"/>
    <mergeCell ref="A15:J15"/>
  </mergeCells>
  <hyperlinks>
    <hyperlink r:id="rId1" ref="C8"/>
    <hyperlink r:id="rId2" ref="C9"/>
    <hyperlink r:id="rId3" ref="C10"/>
  </hyperlinks>
  <printOptions/>
  <pageMargins bottom="0.75" footer="0.0" header="0.0" left="0.7" right="0.7" top="0.75"/>
  <pageSetup orientation="landscape"/>
  <drawing r:id="rId4"/>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3" width="19.13"/>
    <col customWidth="1" min="4" max="4" width="21.88"/>
    <col customWidth="1" min="5" max="6" width="17.0"/>
    <col customWidth="1" min="7" max="7" width="18.0"/>
    <col customWidth="1" min="8" max="8" width="17.0"/>
    <col customWidth="1" min="9" max="10" width="19.13"/>
    <col customWidth="1" min="11" max="26" width="10.0"/>
  </cols>
  <sheetData>
    <row r="1" ht="12.75" customHeight="1"/>
    <row r="2" ht="27.75" customHeight="1">
      <c r="D2" s="2" t="s">
        <v>1</v>
      </c>
    </row>
    <row r="3" ht="12.75" customHeight="1"/>
    <row r="4" ht="12.75" customHeight="1"/>
    <row r="5" ht="43.5" customHeight="1">
      <c r="A5" s="3" t="s">
        <v>2</v>
      </c>
      <c r="B5" s="4"/>
      <c r="C5" s="4"/>
      <c r="D5" s="4"/>
      <c r="E5" s="4"/>
      <c r="F5" s="4"/>
      <c r="G5" s="4"/>
      <c r="H5" s="4"/>
      <c r="I5" s="4"/>
      <c r="J5" s="5"/>
    </row>
    <row r="6" ht="15.75" customHeight="1"/>
    <row r="7" ht="75.75" customHeight="1">
      <c r="A7" s="6" t="s">
        <v>3</v>
      </c>
      <c r="B7" s="48" t="s">
        <v>196</v>
      </c>
      <c r="C7" s="48" t="s">
        <v>197</v>
      </c>
      <c r="D7" s="48" t="s">
        <v>198</v>
      </c>
      <c r="E7" s="48" t="s">
        <v>199</v>
      </c>
      <c r="F7" s="49" t="s">
        <v>200</v>
      </c>
      <c r="G7" s="50" t="s">
        <v>201</v>
      </c>
      <c r="H7" s="48" t="s">
        <v>10</v>
      </c>
      <c r="I7" s="48" t="s">
        <v>202</v>
      </c>
      <c r="J7" s="48" t="s">
        <v>203</v>
      </c>
      <c r="K7" s="10"/>
      <c r="L7" s="10"/>
      <c r="M7" s="10"/>
      <c r="N7" s="10"/>
      <c r="O7" s="10"/>
      <c r="P7" s="10"/>
      <c r="Q7" s="10"/>
      <c r="R7" s="10"/>
      <c r="S7" s="10"/>
      <c r="T7" s="10"/>
      <c r="U7" s="10"/>
      <c r="V7" s="10"/>
      <c r="W7" s="10"/>
      <c r="X7" s="10"/>
      <c r="Y7" s="10"/>
      <c r="Z7" s="10"/>
    </row>
    <row r="8" ht="50.25" customHeight="1">
      <c r="A8" s="60" t="s">
        <v>13</v>
      </c>
      <c r="B8" s="39" t="s">
        <v>204</v>
      </c>
      <c r="C8" s="61" t="s">
        <v>205</v>
      </c>
      <c r="D8" s="45" t="s">
        <v>206</v>
      </c>
      <c r="E8" s="62">
        <v>699000.0</v>
      </c>
      <c r="F8" s="90">
        <f t="shared" ref="F8:F10" si="1">E8*1.19</f>
        <v>831810</v>
      </c>
      <c r="G8" s="37">
        <v>217.06</v>
      </c>
      <c r="H8" s="38">
        <v>3.8</v>
      </c>
      <c r="I8" s="39" t="s">
        <v>17</v>
      </c>
      <c r="J8" s="101" t="s">
        <v>207</v>
      </c>
    </row>
    <row r="9" ht="50.25" customHeight="1">
      <c r="A9" s="60" t="s">
        <v>19</v>
      </c>
      <c r="B9" s="39" t="s">
        <v>208</v>
      </c>
      <c r="C9" s="102" t="s">
        <v>209</v>
      </c>
      <c r="D9" s="53" t="s">
        <v>210</v>
      </c>
      <c r="E9" s="68">
        <v>500000.0</v>
      </c>
      <c r="F9" s="90">
        <f t="shared" si="1"/>
        <v>595000</v>
      </c>
      <c r="G9" s="37">
        <v>155.27</v>
      </c>
      <c r="H9" s="38">
        <v>3.8</v>
      </c>
      <c r="I9" s="39" t="s">
        <v>17</v>
      </c>
      <c r="J9" s="53" t="s">
        <v>211</v>
      </c>
    </row>
    <row r="10" ht="50.25" customHeight="1">
      <c r="A10" s="60" t="s">
        <v>24</v>
      </c>
      <c r="B10" s="39" t="s">
        <v>108</v>
      </c>
      <c r="C10" s="61" t="s">
        <v>212</v>
      </c>
      <c r="D10" s="14" t="s">
        <v>213</v>
      </c>
      <c r="E10" s="62">
        <v>439900.0</v>
      </c>
      <c r="F10" s="90">
        <f t="shared" si="1"/>
        <v>523481</v>
      </c>
      <c r="G10" s="37">
        <v>136.6</v>
      </c>
      <c r="H10" s="38">
        <v>3.8</v>
      </c>
      <c r="I10" s="39" t="s">
        <v>17</v>
      </c>
      <c r="J10" s="53" t="s">
        <v>214</v>
      </c>
    </row>
    <row r="11" ht="15.0" hidden="1" customHeight="1">
      <c r="A11" s="25"/>
      <c r="B11" s="69"/>
      <c r="C11" s="69"/>
      <c r="D11" s="69"/>
      <c r="E11" s="69"/>
      <c r="F11" s="69"/>
      <c r="G11" s="69"/>
      <c r="H11" s="69"/>
      <c r="I11" s="69"/>
      <c r="J11" s="69"/>
    </row>
    <row r="12" ht="12.75" customHeight="1"/>
    <row r="13" ht="138.75" customHeight="1">
      <c r="A13" s="27" t="s">
        <v>215</v>
      </c>
      <c r="B13" s="4"/>
      <c r="C13" s="4"/>
      <c r="D13" s="4"/>
      <c r="E13" s="4"/>
      <c r="F13" s="4"/>
      <c r="G13" s="4"/>
      <c r="H13" s="4"/>
      <c r="I13" s="4"/>
      <c r="J13" s="5"/>
    </row>
    <row r="14" ht="12.75" customHeight="1"/>
    <row r="15" ht="75.0" customHeight="1">
      <c r="A15" s="27" t="s">
        <v>216</v>
      </c>
      <c r="B15" s="4"/>
      <c r="C15" s="4"/>
      <c r="D15" s="4"/>
      <c r="E15" s="4"/>
      <c r="F15" s="4"/>
      <c r="G15" s="4"/>
      <c r="H15" s="4"/>
      <c r="I15" s="4"/>
      <c r="J15" s="5"/>
    </row>
    <row r="16" ht="12.75" customHeight="1"/>
    <row r="17" ht="12.75" customHeight="1"/>
    <row r="18" ht="12.75" customHeight="1"/>
    <row r="19" ht="12.75" customHeight="1"/>
    <row r="20" ht="12.75" customHeight="1"/>
    <row r="21" ht="12.75" customHeight="1"/>
    <row r="22" ht="12.75" customHeight="1"/>
    <row r="23" ht="12.75" customHeight="1"/>
    <row r="24" ht="12.75" customHeight="1"/>
    <row r="25" ht="12.75" customHeight="1"/>
    <row r="26" ht="12.75" customHeight="1">
      <c r="D26" s="28"/>
      <c r="E26" s="28"/>
      <c r="F26" s="29"/>
      <c r="G26" s="29"/>
    </row>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mergeCells count="4">
    <mergeCell ref="D2:H2"/>
    <mergeCell ref="A5:J5"/>
    <mergeCell ref="A13:J13"/>
    <mergeCell ref="A15:J15"/>
  </mergeCells>
  <hyperlinks>
    <hyperlink r:id="rId1" ref="C8"/>
    <hyperlink r:id="rId2" ref="C9"/>
    <hyperlink r:id="rId3" location="polycard_client=search-nordic&amp;search_layout=stack&amp;position=4&amp;type=product&amp;tracking_id=5e9d59a9-255a-4efd-88b0-810d5547d109&amp;wid=MCO2888623430&amp;sid=search" ref="C10"/>
  </hyperlinks>
  <printOptions/>
  <pageMargins bottom="0.75" footer="0.0" header="0.0" left="0.7" right="0.7" top="0.75"/>
  <pageSetup orientation="landscape"/>
  <drawing r:id="rId4"/>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3" width="19.13"/>
    <col customWidth="1" min="4" max="4" width="21.88"/>
    <col customWidth="1" min="5" max="6" width="17.0"/>
    <col customWidth="1" min="7" max="7" width="18.0"/>
    <col customWidth="1" min="8" max="8" width="17.0"/>
    <col customWidth="1" min="9" max="10" width="19.13"/>
    <col customWidth="1" min="11" max="26" width="10.0"/>
  </cols>
  <sheetData>
    <row r="1" ht="12.75" customHeight="1">
      <c r="A1" s="29" t="s">
        <v>217</v>
      </c>
    </row>
    <row r="2" ht="27.75" customHeight="1">
      <c r="D2" s="2" t="s">
        <v>1</v>
      </c>
    </row>
    <row r="3" ht="12.75" customHeight="1"/>
    <row r="4" ht="12.75" customHeight="1"/>
    <row r="5" ht="43.5" customHeight="1">
      <c r="A5" s="3" t="s">
        <v>2</v>
      </c>
      <c r="B5" s="4"/>
      <c r="C5" s="4"/>
      <c r="D5" s="4"/>
      <c r="E5" s="4"/>
      <c r="F5" s="4"/>
      <c r="G5" s="4"/>
      <c r="H5" s="4"/>
      <c r="I5" s="4"/>
      <c r="J5" s="5"/>
    </row>
    <row r="6" ht="15.75" customHeight="1"/>
    <row r="7" ht="75.75" customHeight="1">
      <c r="A7" s="6" t="s">
        <v>3</v>
      </c>
      <c r="B7" s="48" t="s">
        <v>218</v>
      </c>
      <c r="C7" s="48" t="s">
        <v>219</v>
      </c>
      <c r="D7" s="48" t="s">
        <v>220</v>
      </c>
      <c r="E7" s="48" t="s">
        <v>221</v>
      </c>
      <c r="F7" s="49" t="s">
        <v>222</v>
      </c>
      <c r="G7" s="50" t="s">
        <v>223</v>
      </c>
      <c r="H7" s="48" t="s">
        <v>10</v>
      </c>
      <c r="I7" s="48" t="s">
        <v>224</v>
      </c>
      <c r="J7" s="48" t="s">
        <v>225</v>
      </c>
      <c r="K7" s="10"/>
      <c r="L7" s="10"/>
      <c r="M7" s="10"/>
      <c r="N7" s="10"/>
      <c r="O7" s="10"/>
      <c r="P7" s="10"/>
      <c r="Q7" s="10"/>
      <c r="R7" s="10"/>
      <c r="S7" s="10"/>
      <c r="T7" s="10"/>
      <c r="U7" s="10"/>
      <c r="V7" s="10"/>
      <c r="W7" s="10"/>
      <c r="X7" s="10"/>
      <c r="Y7" s="10"/>
      <c r="Z7" s="10"/>
    </row>
    <row r="8" ht="50.25" customHeight="1">
      <c r="A8" s="60" t="s">
        <v>13</v>
      </c>
      <c r="B8" s="103" t="s">
        <v>226</v>
      </c>
      <c r="C8" s="61" t="s">
        <v>227</v>
      </c>
      <c r="D8" s="104" t="s">
        <v>228</v>
      </c>
      <c r="E8" s="105">
        <v>179000.0</v>
      </c>
      <c r="F8" s="106">
        <f t="shared" ref="F8:F10" si="1">E8*1.19</f>
        <v>213010</v>
      </c>
      <c r="G8" s="107">
        <v>55.32</v>
      </c>
      <c r="H8" s="108">
        <v>3800.0</v>
      </c>
      <c r="I8" s="109" t="s">
        <v>17</v>
      </c>
      <c r="J8" s="110" t="s">
        <v>229</v>
      </c>
    </row>
    <row r="9" ht="50.25" customHeight="1">
      <c r="A9" s="60" t="s">
        <v>19</v>
      </c>
      <c r="B9" s="103" t="s">
        <v>230</v>
      </c>
      <c r="C9" s="61" t="s">
        <v>231</v>
      </c>
      <c r="D9" s="110" t="s">
        <v>232</v>
      </c>
      <c r="E9" s="105">
        <v>170000.0</v>
      </c>
      <c r="F9" s="106">
        <f t="shared" si="1"/>
        <v>202300</v>
      </c>
      <c r="G9" s="107">
        <v>52.08</v>
      </c>
      <c r="H9" s="108">
        <v>3800.0</v>
      </c>
      <c r="I9" s="109" t="s">
        <v>17</v>
      </c>
      <c r="J9" s="110" t="s">
        <v>233</v>
      </c>
    </row>
    <row r="10" ht="50.25" customHeight="1">
      <c r="A10" s="60" t="s">
        <v>24</v>
      </c>
      <c r="B10" s="103" t="s">
        <v>90</v>
      </c>
      <c r="C10" s="61" t="s">
        <v>234</v>
      </c>
      <c r="D10" s="103" t="s">
        <v>235</v>
      </c>
      <c r="E10" s="105">
        <v>170000.0</v>
      </c>
      <c r="F10" s="106">
        <f t="shared" si="1"/>
        <v>202300</v>
      </c>
      <c r="G10" s="107">
        <v>52.08</v>
      </c>
      <c r="H10" s="108">
        <v>3800.0</v>
      </c>
      <c r="I10" s="109" t="s">
        <v>17</v>
      </c>
      <c r="J10" s="110" t="s">
        <v>236</v>
      </c>
    </row>
    <row r="11" ht="15.0" hidden="1" customHeight="1">
      <c r="A11" s="25"/>
      <c r="B11" s="69"/>
      <c r="C11" s="69"/>
      <c r="D11" s="69"/>
      <c r="E11" s="69"/>
      <c r="F11" s="69"/>
      <c r="G11" s="69"/>
      <c r="H11" s="69"/>
      <c r="I11" s="69"/>
      <c r="J11" s="69"/>
    </row>
    <row r="12" ht="12.75" customHeight="1"/>
    <row r="13" ht="138.75" customHeight="1">
      <c r="A13" s="27" t="s">
        <v>237</v>
      </c>
      <c r="B13" s="4"/>
      <c r="C13" s="4"/>
      <c r="D13" s="4"/>
      <c r="E13" s="4"/>
      <c r="F13" s="4"/>
      <c r="G13" s="4"/>
      <c r="H13" s="4"/>
      <c r="I13" s="4"/>
      <c r="J13" s="5"/>
    </row>
    <row r="14" ht="12.75" customHeight="1"/>
    <row r="15" ht="75.0" customHeight="1">
      <c r="A15" s="27" t="s">
        <v>238</v>
      </c>
      <c r="B15" s="4"/>
      <c r="C15" s="4"/>
      <c r="D15" s="4"/>
      <c r="E15" s="4"/>
      <c r="F15" s="4"/>
      <c r="G15" s="4"/>
      <c r="H15" s="4"/>
      <c r="I15" s="4"/>
      <c r="J15" s="5"/>
    </row>
    <row r="16" ht="12.75" customHeight="1"/>
    <row r="17" ht="12.75" customHeight="1"/>
    <row r="18" ht="12.75" customHeight="1"/>
    <row r="19" ht="12.75" customHeight="1"/>
    <row r="20" ht="12.75" customHeight="1"/>
    <row r="21" ht="12.75" customHeight="1"/>
    <row r="22" ht="12.75" customHeight="1"/>
    <row r="23" ht="12.75" customHeight="1"/>
    <row r="24" ht="12.75" customHeight="1"/>
    <row r="25" ht="12.75" customHeight="1"/>
    <row r="26" ht="12.75" customHeight="1">
      <c r="D26" s="28"/>
      <c r="E26" s="28"/>
      <c r="F26" s="29"/>
      <c r="G26" s="29"/>
    </row>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mergeCells count="4">
    <mergeCell ref="D2:H2"/>
    <mergeCell ref="A5:J5"/>
    <mergeCell ref="A13:J13"/>
    <mergeCell ref="A15:J15"/>
  </mergeCells>
  <hyperlinks>
    <hyperlink r:id="rId1" ref="C8"/>
    <hyperlink r:id="rId2" ref="C9"/>
    <hyperlink r:id="rId3" location="polycard_client=search-nordic&amp;search_layout=stack&amp;position=3&amp;type=product&amp;tracking_id=777d7f0d-b3c0-4d9f-a49c-4400dec63f6d&amp;wid=MCO1573643537&amp;sid=search" ref="C10"/>
  </hyperlinks>
  <printOptions/>
  <pageMargins bottom="0.75" footer="0.0" header="0.0" left="0.7" right="0.7" top="0.75"/>
  <pageSetup orientation="landscape"/>
  <drawing r:id="rId4"/>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3" width="19.13"/>
    <col customWidth="1" min="4" max="4" width="21.88"/>
    <col customWidth="1" min="5" max="5" width="17.0"/>
    <col customWidth="1" min="6" max="6" width="21.88"/>
    <col customWidth="1" min="7" max="7" width="18.0"/>
    <col customWidth="1" min="8" max="8" width="17.0"/>
    <col customWidth="1" min="9" max="10" width="19.13"/>
    <col customWidth="1" min="11" max="26" width="10.0"/>
  </cols>
  <sheetData>
    <row r="1" ht="12.75" customHeight="1"/>
    <row r="2" ht="27.75" customHeight="1">
      <c r="D2" s="2" t="s">
        <v>1</v>
      </c>
    </row>
    <row r="3" ht="12.75" customHeight="1"/>
    <row r="4" ht="12.75" customHeight="1"/>
    <row r="5" ht="43.5" customHeight="1">
      <c r="A5" s="3" t="s">
        <v>2</v>
      </c>
      <c r="B5" s="4"/>
      <c r="C5" s="4"/>
      <c r="D5" s="4"/>
      <c r="E5" s="4"/>
      <c r="F5" s="4"/>
      <c r="G5" s="4"/>
      <c r="H5" s="4"/>
      <c r="I5" s="4"/>
      <c r="J5" s="5"/>
    </row>
    <row r="6" ht="15.75" customHeight="1"/>
    <row r="7" ht="75.75" customHeight="1">
      <c r="A7" s="6" t="s">
        <v>3</v>
      </c>
      <c r="B7" s="48" t="s">
        <v>239</v>
      </c>
      <c r="C7" s="48" t="s">
        <v>240</v>
      </c>
      <c r="D7" s="48" t="s">
        <v>241</v>
      </c>
      <c r="E7" s="48" t="s">
        <v>242</v>
      </c>
      <c r="F7" s="49" t="s">
        <v>243</v>
      </c>
      <c r="G7" s="50" t="s">
        <v>244</v>
      </c>
      <c r="H7" s="48" t="s">
        <v>10</v>
      </c>
      <c r="I7" s="48" t="s">
        <v>245</v>
      </c>
      <c r="J7" s="48" t="s">
        <v>246</v>
      </c>
      <c r="K7" s="10"/>
      <c r="L7" s="10"/>
      <c r="M7" s="10"/>
      <c r="N7" s="10"/>
      <c r="O7" s="10"/>
      <c r="P7" s="10"/>
      <c r="Q7" s="10"/>
      <c r="R7" s="10"/>
      <c r="S7" s="10"/>
      <c r="T7" s="10"/>
      <c r="U7" s="10"/>
      <c r="V7" s="10"/>
      <c r="W7" s="10"/>
      <c r="X7" s="10"/>
      <c r="Y7" s="10"/>
      <c r="Z7" s="10"/>
    </row>
    <row r="8" ht="50.25" customHeight="1">
      <c r="A8" s="60" t="s">
        <v>13</v>
      </c>
      <c r="B8" s="103" t="s">
        <v>108</v>
      </c>
      <c r="C8" s="61" t="s">
        <v>247</v>
      </c>
      <c r="D8" s="110" t="s">
        <v>248</v>
      </c>
      <c r="E8" s="105">
        <v>1400000.0</v>
      </c>
      <c r="F8" s="106">
        <f t="shared" ref="F8:F10" si="1">E8*1.19</f>
        <v>1666000</v>
      </c>
      <c r="G8" s="111">
        <v>434.13</v>
      </c>
      <c r="H8" s="112">
        <v>3800.0</v>
      </c>
      <c r="I8" s="109" t="s">
        <v>63</v>
      </c>
      <c r="J8" s="110" t="s">
        <v>249</v>
      </c>
    </row>
    <row r="9" ht="50.25" customHeight="1">
      <c r="A9" s="60" t="s">
        <v>19</v>
      </c>
      <c r="B9" s="109" t="s">
        <v>108</v>
      </c>
      <c r="C9" s="61" t="s">
        <v>250</v>
      </c>
      <c r="D9" s="104" t="s">
        <v>251</v>
      </c>
      <c r="E9" s="105">
        <v>780000.0</v>
      </c>
      <c r="F9" s="106">
        <f t="shared" si="1"/>
        <v>928200</v>
      </c>
      <c r="G9" s="111">
        <v>241.82</v>
      </c>
      <c r="H9" s="112">
        <v>3800.0</v>
      </c>
      <c r="I9" s="109" t="s">
        <v>63</v>
      </c>
      <c r="J9" s="110" t="s">
        <v>252</v>
      </c>
    </row>
    <row r="10" ht="50.25" customHeight="1">
      <c r="A10" s="60" t="s">
        <v>24</v>
      </c>
      <c r="B10" s="109" t="s">
        <v>108</v>
      </c>
      <c r="C10" s="61" t="s">
        <v>253</v>
      </c>
      <c r="D10" s="110" t="s">
        <v>254</v>
      </c>
      <c r="E10" s="105">
        <v>1200000.0</v>
      </c>
      <c r="F10" s="106">
        <f t="shared" si="1"/>
        <v>1428000</v>
      </c>
      <c r="G10" s="111">
        <v>372.0</v>
      </c>
      <c r="H10" s="112">
        <v>3800.0</v>
      </c>
      <c r="I10" s="109" t="s">
        <v>63</v>
      </c>
      <c r="J10" s="110" t="s">
        <v>255</v>
      </c>
    </row>
    <row r="11" ht="15.0" hidden="1" customHeight="1">
      <c r="A11" s="25"/>
      <c r="B11" s="69"/>
      <c r="C11" s="69"/>
      <c r="D11" s="69"/>
      <c r="E11" s="69"/>
      <c r="F11" s="69"/>
      <c r="G11" s="69"/>
      <c r="H11" s="69"/>
      <c r="I11" s="69"/>
      <c r="J11" s="69"/>
    </row>
    <row r="12" ht="12.75" customHeight="1"/>
    <row r="13" ht="138.75" customHeight="1">
      <c r="A13" s="27" t="s">
        <v>256</v>
      </c>
      <c r="B13" s="4"/>
      <c r="C13" s="4"/>
      <c r="D13" s="4"/>
      <c r="E13" s="4"/>
      <c r="F13" s="4"/>
      <c r="G13" s="4"/>
      <c r="H13" s="4"/>
      <c r="I13" s="4"/>
      <c r="J13" s="5"/>
    </row>
    <row r="14" ht="12.75" customHeight="1"/>
    <row r="15" ht="75.0" customHeight="1">
      <c r="A15" s="27" t="s">
        <v>257</v>
      </c>
      <c r="B15" s="4"/>
      <c r="C15" s="4"/>
      <c r="D15" s="4"/>
      <c r="E15" s="4"/>
      <c r="F15" s="4"/>
      <c r="G15" s="4"/>
      <c r="H15" s="4"/>
      <c r="I15" s="4"/>
      <c r="J15" s="5"/>
    </row>
    <row r="16" ht="12.75" customHeight="1"/>
    <row r="17" ht="12.75" customHeight="1"/>
    <row r="18" ht="12.75" customHeight="1"/>
    <row r="19" ht="12.75" customHeight="1"/>
    <row r="20" ht="12.75" customHeight="1"/>
    <row r="21" ht="12.75" customHeight="1"/>
    <row r="22" ht="12.75" customHeight="1"/>
    <row r="23" ht="12.75" customHeight="1"/>
    <row r="24" ht="12.75" customHeight="1"/>
    <row r="25" ht="12.75" customHeight="1"/>
    <row r="26" ht="12.75" customHeight="1">
      <c r="D26" s="28"/>
      <c r="E26" s="28"/>
      <c r="F26" s="29"/>
      <c r="G26" s="29"/>
    </row>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mergeCells count="4">
    <mergeCell ref="D2:H2"/>
    <mergeCell ref="A5:J5"/>
    <mergeCell ref="A13:J13"/>
    <mergeCell ref="A15:J15"/>
  </mergeCells>
  <hyperlinks>
    <hyperlink r:id="rId1" location="polycard_client=search-nordic&amp;search_layout=grid&amp;position=34&amp;type=product&amp;tracking_id=88f7a61e-60c0-49c9-8ffb-4cb7f84011c1&amp;wid=MCO1668989017&amp;sid=searchadgrpid=155794384686&amp;dib=eyJ2IjoiMSJ9.vYi2pIIiGRBedIr2jKVR4ybPOOFZSWbEDb958QPq9NarZfdDgLhPG1rwbxctloAyzlgEiJT22MxWfeOLuojU9lMgaWCspcaWFdcfhotfIJLw4HKo4BMqEq3usCY3QITk_O9c8ve6tss3sWwYeNc004FfpXfPf7LJv1GbZxOGSii9Zo-V7IZ_1V_HKTu3oHC3by1vwuC41wtIhixDpZLzPkPqyy3a8UQThf6lEfmQBG8.ce6UuJy1KMSj4ZCWiuK1ejBTgg8_WeHUDg2rWRQxGWE&amp;dib_tag=se&amp;hvadid=685760356930&amp;hvdev=c&amp;hvlocphy=1003659&amp;hvnetw=g&amp;hvqmt=e&amp;hvrand=12856362696261638438&amp;hvtargid=kwd-333776316623&amp;hydadcr=2263_13512609&amp;keywords=servidores+computadora&amp;qid=1714839274&amp;sr=8-1-spons&amp;sp_csd=d2lkZ2V0TmFtZT1zcF9hdGY&amp;psc=1" ref="C8"/>
    <hyperlink r:id="rId2" location="polycard_client=search-nordic&amp;search_layout=grid&amp;position=1&amp;type=product&amp;tracking_id=df37578b-f61e-45c2-9e06-1f96e4bc5000&amp;wid=MCO2828059520&amp;sid=search" ref="C9"/>
    <hyperlink r:id="rId3" location="polycard_client=search-nordic&amp;search_layout=grid&amp;position=40&amp;type=product&amp;tracking_id=169b2c1b-219d-45bd-9bc7-172c1909f054&amp;wid=MCO1578463349&amp;sid=search" ref="C10"/>
  </hyperlinks>
  <printOptions/>
  <pageMargins bottom="0.75" footer="0.0" header="0.0" left="0.7" right="0.7" top="0.75"/>
  <pageSetup orientation="landscape"/>
  <drawing r:id="rId4"/>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3" width="19.13"/>
    <col customWidth="1" min="4" max="4" width="21.88"/>
    <col customWidth="1" min="5" max="6" width="17.0"/>
    <col customWidth="1" min="7" max="7" width="18.0"/>
    <col customWidth="1" min="8" max="8" width="17.0"/>
    <col customWidth="1" min="9" max="10" width="19.13"/>
    <col customWidth="1" min="11" max="26" width="10.0"/>
  </cols>
  <sheetData>
    <row r="1" ht="12.75" customHeight="1"/>
    <row r="2" ht="27.75" customHeight="1">
      <c r="D2" s="2" t="s">
        <v>1</v>
      </c>
    </row>
    <row r="3" ht="12.75" customHeight="1"/>
    <row r="4" ht="12.75" customHeight="1"/>
    <row r="5" ht="43.5" customHeight="1">
      <c r="A5" s="3" t="s">
        <v>2</v>
      </c>
      <c r="B5" s="4"/>
      <c r="C5" s="4"/>
      <c r="D5" s="4"/>
      <c r="E5" s="4"/>
      <c r="F5" s="4"/>
      <c r="G5" s="4"/>
      <c r="H5" s="4"/>
      <c r="I5" s="4"/>
      <c r="J5" s="5"/>
    </row>
    <row r="6" ht="15.75" customHeight="1"/>
    <row r="7" ht="75.75" customHeight="1">
      <c r="A7" s="6" t="s">
        <v>3</v>
      </c>
      <c r="B7" s="48" t="s">
        <v>258</v>
      </c>
      <c r="C7" s="48" t="s">
        <v>259</v>
      </c>
      <c r="D7" s="48" t="s">
        <v>260</v>
      </c>
      <c r="E7" s="48" t="s">
        <v>261</v>
      </c>
      <c r="F7" s="49" t="s">
        <v>262</v>
      </c>
      <c r="G7" s="50" t="s">
        <v>263</v>
      </c>
      <c r="H7" s="48" t="s">
        <v>10</v>
      </c>
      <c r="I7" s="48" t="s">
        <v>264</v>
      </c>
      <c r="J7" s="48" t="s">
        <v>265</v>
      </c>
      <c r="K7" s="10"/>
      <c r="L7" s="10"/>
      <c r="M7" s="10"/>
      <c r="N7" s="10"/>
      <c r="O7" s="10"/>
      <c r="P7" s="10"/>
      <c r="Q7" s="10"/>
      <c r="R7" s="10"/>
      <c r="S7" s="10"/>
      <c r="T7" s="10"/>
      <c r="U7" s="10"/>
      <c r="V7" s="10"/>
      <c r="W7" s="10"/>
      <c r="X7" s="10"/>
      <c r="Y7" s="10"/>
      <c r="Z7" s="10"/>
    </row>
    <row r="8" ht="50.25" customHeight="1">
      <c r="A8" s="60" t="s">
        <v>13</v>
      </c>
      <c r="B8" s="109" t="s">
        <v>108</v>
      </c>
      <c r="C8" s="61" t="s">
        <v>266</v>
      </c>
      <c r="D8" s="103" t="s">
        <v>267</v>
      </c>
      <c r="E8" s="105">
        <v>119000.0</v>
      </c>
      <c r="F8" s="106">
        <f t="shared" ref="F8:F10" si="1">E8*1.19</f>
        <v>141610</v>
      </c>
      <c r="G8" s="113">
        <v>36.79</v>
      </c>
      <c r="H8" s="114">
        <v>3800.0</v>
      </c>
      <c r="I8" s="109" t="s">
        <v>17</v>
      </c>
      <c r="J8" s="110" t="s">
        <v>268</v>
      </c>
      <c r="K8" s="115" t="s">
        <v>0</v>
      </c>
    </row>
    <row r="9" ht="50.25" customHeight="1">
      <c r="A9" s="60" t="s">
        <v>19</v>
      </c>
      <c r="B9" s="103" t="s">
        <v>108</v>
      </c>
      <c r="C9" s="61" t="s">
        <v>269</v>
      </c>
      <c r="D9" s="104" t="s">
        <v>270</v>
      </c>
      <c r="E9" s="105">
        <v>209000.0</v>
      </c>
      <c r="F9" s="106">
        <f t="shared" si="1"/>
        <v>248710</v>
      </c>
      <c r="G9" s="113">
        <v>53.97</v>
      </c>
      <c r="H9" s="114">
        <v>3800.0</v>
      </c>
      <c r="I9" s="109" t="s">
        <v>17</v>
      </c>
      <c r="J9" s="110" t="s">
        <v>271</v>
      </c>
    </row>
    <row r="10" ht="50.25" customHeight="1">
      <c r="A10" s="60" t="s">
        <v>24</v>
      </c>
      <c r="B10" s="103" t="s">
        <v>108</v>
      </c>
      <c r="C10" s="61" t="s">
        <v>272</v>
      </c>
      <c r="D10" s="110" t="s">
        <v>273</v>
      </c>
      <c r="E10" s="105">
        <v>110000.0</v>
      </c>
      <c r="F10" s="106">
        <f t="shared" si="1"/>
        <v>130900</v>
      </c>
      <c r="G10" s="113">
        <v>34.16</v>
      </c>
      <c r="H10" s="114">
        <v>3800.0</v>
      </c>
      <c r="I10" s="109" t="s">
        <v>17</v>
      </c>
      <c r="J10" s="110" t="s">
        <v>274</v>
      </c>
    </row>
    <row r="11" ht="15.0" hidden="1" customHeight="1">
      <c r="A11" s="25"/>
      <c r="B11" s="69"/>
      <c r="C11" s="69"/>
      <c r="D11" s="69"/>
      <c r="E11" s="69"/>
      <c r="F11" s="69"/>
      <c r="G11" s="69"/>
      <c r="H11" s="69"/>
      <c r="I11" s="69"/>
      <c r="J11" s="69"/>
    </row>
    <row r="12" ht="12.75" customHeight="1"/>
    <row r="13" ht="138.75" customHeight="1">
      <c r="A13" s="27" t="s">
        <v>275</v>
      </c>
      <c r="B13" s="4"/>
      <c r="C13" s="4"/>
      <c r="D13" s="4"/>
      <c r="E13" s="4"/>
      <c r="F13" s="4"/>
      <c r="G13" s="4"/>
      <c r="H13" s="4"/>
      <c r="I13" s="4"/>
      <c r="J13" s="5"/>
    </row>
    <row r="14" ht="12.75" customHeight="1"/>
    <row r="15" ht="75.0" customHeight="1">
      <c r="A15" s="27" t="s">
        <v>276</v>
      </c>
      <c r="B15" s="4"/>
      <c r="C15" s="4"/>
      <c r="D15" s="4"/>
      <c r="E15" s="4"/>
      <c r="F15" s="4"/>
      <c r="G15" s="4"/>
      <c r="H15" s="4"/>
      <c r="I15" s="4"/>
      <c r="J15" s="5"/>
    </row>
    <row r="16" ht="12.75" customHeight="1"/>
    <row r="17" ht="12.75" customHeight="1"/>
    <row r="18" ht="12.75" customHeight="1"/>
    <row r="19" ht="12.75" customHeight="1"/>
    <row r="20" ht="12.75" customHeight="1"/>
    <row r="21" ht="12.75" customHeight="1"/>
    <row r="22" ht="12.75" customHeight="1"/>
    <row r="23" ht="12.75" customHeight="1"/>
    <row r="24" ht="12.75" customHeight="1"/>
    <row r="25" ht="12.75" customHeight="1"/>
    <row r="26" ht="12.75" customHeight="1">
      <c r="D26" s="28"/>
      <c r="E26" s="28"/>
      <c r="F26" s="29"/>
      <c r="G26" s="29"/>
    </row>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mergeCells count="4">
    <mergeCell ref="D2:H2"/>
    <mergeCell ref="A5:J5"/>
    <mergeCell ref="A13:J13"/>
    <mergeCell ref="A15:J15"/>
  </mergeCells>
  <hyperlinks>
    <hyperlink r:id="rId1" location="polycard_client=search-nordic&amp;search_layout=stack&amp;position=14&amp;type=product&amp;tracking_id=a13a35b1-d6aa-4573-acdc-cd4086a1b00d&amp;wid=MCO1664055077&amp;sid=search" ref="C8"/>
    <hyperlink r:id="rId2" location="is_advertising=true&amp;searchVariation=MCO40536874&amp;backend_model=search-backend&amp;position=1&amp;search_layout=stack&amp;type=pad&amp;tracking_id=ab7a3ee3-603e-4276-a069-5ca16ba9b8d2&amp;ad_domain=VQCATCORE_LST&amp;ad_position=1&amp;ad_click_id=N2U4YjU4N2YtYjdkMi00MDc3LTg1OTctYjRhYjJlZTM5ZDEz" ref="C9"/>
    <hyperlink r:id="rId3" location="polycard_client=search-nordic&amp;search_layout=stack&amp;position=5&amp;type=product&amp;tracking_id=55455934-4bc1-4171-b256-a51fc6f7dbbe&amp;wid=MCO1614310077&amp;sid=search" ref="C10"/>
  </hyperlinks>
  <printOptions/>
  <pageMargins bottom="0.75" footer="0.0" header="0.0" left="0.7" right="0.7" top="0.75"/>
  <pageSetup orientation="landscape"/>
  <drawing r:id="rId4"/>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3" width="19.13"/>
    <col customWidth="1" min="4" max="4" width="21.88"/>
    <col customWidth="1" min="5" max="6" width="17.0"/>
    <col customWidth="1" min="7" max="7" width="18.0"/>
    <col customWidth="1" min="8" max="8" width="17.0"/>
    <col customWidth="1" min="9" max="10" width="19.13"/>
    <col customWidth="1" min="11" max="26" width="10.0"/>
  </cols>
  <sheetData>
    <row r="1" ht="12.75" customHeight="1"/>
    <row r="2" ht="27.75" customHeight="1">
      <c r="D2" s="2" t="s">
        <v>1</v>
      </c>
    </row>
    <row r="3" ht="12.75" customHeight="1"/>
    <row r="4" ht="12.75" customHeight="1"/>
    <row r="5" ht="43.5" customHeight="1">
      <c r="A5" s="3" t="s">
        <v>2</v>
      </c>
      <c r="B5" s="4"/>
      <c r="C5" s="4"/>
      <c r="D5" s="4"/>
      <c r="E5" s="4"/>
      <c r="F5" s="4"/>
      <c r="G5" s="4"/>
      <c r="H5" s="4"/>
      <c r="I5" s="4"/>
      <c r="J5" s="5"/>
    </row>
    <row r="6" ht="15.75" customHeight="1"/>
    <row r="7" ht="75.75" customHeight="1">
      <c r="A7" s="6" t="s">
        <v>3</v>
      </c>
      <c r="B7" s="48" t="s">
        <v>277</v>
      </c>
      <c r="C7" s="48" t="s">
        <v>278</v>
      </c>
      <c r="D7" s="48" t="s">
        <v>279</v>
      </c>
      <c r="E7" s="48" t="s">
        <v>280</v>
      </c>
      <c r="F7" s="49" t="s">
        <v>281</v>
      </c>
      <c r="G7" s="50" t="s">
        <v>282</v>
      </c>
      <c r="H7" s="48" t="s">
        <v>10</v>
      </c>
      <c r="I7" s="48" t="s">
        <v>283</v>
      </c>
      <c r="J7" s="48" t="s">
        <v>284</v>
      </c>
      <c r="K7" s="10"/>
      <c r="L7" s="10"/>
      <c r="M7" s="10"/>
      <c r="N7" s="10"/>
      <c r="O7" s="10"/>
      <c r="P7" s="10"/>
      <c r="Q7" s="10"/>
      <c r="R7" s="10"/>
      <c r="S7" s="10"/>
      <c r="T7" s="10"/>
      <c r="U7" s="10"/>
      <c r="V7" s="10"/>
      <c r="W7" s="10"/>
      <c r="X7" s="10"/>
      <c r="Y7" s="10"/>
      <c r="Z7" s="10"/>
    </row>
    <row r="8" ht="50.25" customHeight="1">
      <c r="A8" s="60" t="s">
        <v>13</v>
      </c>
      <c r="B8" s="109" t="s">
        <v>108</v>
      </c>
      <c r="C8" s="61" t="s">
        <v>285</v>
      </c>
      <c r="D8" s="110" t="s">
        <v>286</v>
      </c>
      <c r="E8" s="113">
        <v>245000.0</v>
      </c>
      <c r="F8" s="106">
        <f t="shared" ref="F8:F10" si="1">E8*1.19</f>
        <v>291550</v>
      </c>
      <c r="G8" s="116">
        <v>75.04</v>
      </c>
      <c r="H8" s="112">
        <v>3800.0</v>
      </c>
      <c r="I8" s="109" t="s">
        <v>63</v>
      </c>
      <c r="J8" s="110" t="s">
        <v>287</v>
      </c>
    </row>
    <row r="9" ht="50.25" customHeight="1">
      <c r="A9" s="60" t="s">
        <v>19</v>
      </c>
      <c r="B9" s="103" t="s">
        <v>108</v>
      </c>
      <c r="C9" s="61" t="s">
        <v>288</v>
      </c>
      <c r="D9" s="104" t="s">
        <v>289</v>
      </c>
      <c r="E9" s="105">
        <v>430000.0</v>
      </c>
      <c r="F9" s="106">
        <f t="shared" si="1"/>
        <v>511700</v>
      </c>
      <c r="G9" s="116">
        <v>131.73</v>
      </c>
      <c r="H9" s="112">
        <v>3800.0</v>
      </c>
      <c r="I9" s="109" t="s">
        <v>63</v>
      </c>
      <c r="J9" s="110" t="s">
        <v>290</v>
      </c>
    </row>
    <row r="10" ht="50.25" customHeight="1">
      <c r="A10" s="60" t="s">
        <v>24</v>
      </c>
      <c r="B10" s="103" t="s">
        <v>291</v>
      </c>
      <c r="C10" s="61" t="s">
        <v>292</v>
      </c>
      <c r="D10" s="110" t="s">
        <v>293</v>
      </c>
      <c r="E10" s="113">
        <v>390000.0</v>
      </c>
      <c r="F10" s="106">
        <f t="shared" si="1"/>
        <v>464100</v>
      </c>
      <c r="G10" s="116">
        <v>119.48</v>
      </c>
      <c r="H10" s="112">
        <v>3800.0</v>
      </c>
      <c r="I10" s="109" t="s">
        <v>63</v>
      </c>
      <c r="J10" s="110" t="s">
        <v>294</v>
      </c>
    </row>
    <row r="11" ht="15.0" hidden="1" customHeight="1">
      <c r="A11" s="25"/>
      <c r="B11" s="69"/>
      <c r="C11" s="69"/>
      <c r="D11" s="69"/>
      <c r="E11" s="69"/>
      <c r="F11" s="69"/>
      <c r="G11" s="69"/>
      <c r="H11" s="69"/>
      <c r="I11" s="69"/>
      <c r="J11" s="69"/>
    </row>
    <row r="12" ht="12.75" customHeight="1"/>
    <row r="13" ht="138.75" customHeight="1">
      <c r="A13" s="27" t="s">
        <v>295</v>
      </c>
      <c r="B13" s="4"/>
      <c r="C13" s="4"/>
      <c r="D13" s="4"/>
      <c r="E13" s="4"/>
      <c r="F13" s="4"/>
      <c r="G13" s="4"/>
      <c r="H13" s="4"/>
      <c r="I13" s="4"/>
      <c r="J13" s="5"/>
    </row>
    <row r="14" ht="12.75" customHeight="1"/>
    <row r="15" ht="75.0" customHeight="1">
      <c r="A15" s="27" t="s">
        <v>296</v>
      </c>
      <c r="B15" s="4"/>
      <c r="C15" s="4"/>
      <c r="D15" s="4"/>
      <c r="E15" s="4"/>
      <c r="F15" s="4"/>
      <c r="G15" s="4"/>
      <c r="H15" s="4"/>
      <c r="I15" s="4"/>
      <c r="J15" s="5"/>
    </row>
    <row r="16" ht="12.75" customHeight="1"/>
    <row r="17" ht="12.75" customHeight="1"/>
    <row r="18" ht="12.75" customHeight="1"/>
    <row r="19" ht="12.75" customHeight="1"/>
    <row r="20" ht="12.75" customHeight="1"/>
    <row r="21" ht="12.75" customHeight="1"/>
    <row r="22" ht="12.75" customHeight="1"/>
    <row r="23" ht="12.75" customHeight="1"/>
    <row r="24" ht="12.75" customHeight="1"/>
    <row r="25" ht="12.75" customHeight="1"/>
    <row r="26" ht="12.75" customHeight="1">
      <c r="D26" s="28"/>
      <c r="E26" s="28"/>
      <c r="F26" s="29"/>
      <c r="G26" s="29"/>
    </row>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mergeCells count="4">
    <mergeCell ref="D2:H2"/>
    <mergeCell ref="A5:J5"/>
    <mergeCell ref="A13:J13"/>
    <mergeCell ref="A15:J15"/>
  </mergeCells>
  <hyperlinks>
    <hyperlink r:id="rId1" location="polycard_client=search-nordic&amp;search_layout=stack&amp;position=17&amp;type=product&amp;tracking_id=1ae5b8f5-e8cd-4be0-b22f-5cc71d8fe044&amp;wid=MCO1621807471&amp;sid=search" ref="C8"/>
    <hyperlink r:id="rId2" location="polycard_client=recommendations_pdp-v2p&amp;reco_backend=ranker_retrieval_system_org&amp;reco_model=rk_ent_v3_retsys_org&amp;reco_client=pdp-v2p&amp;reco_item_pos=0&amp;reco_backend_type=low_level&amp;reco_id=0f053842-f847-419b-bd39-dc86c1d67c8f&amp;wid=MCO2992783046&amp;sid=recos" ref="C9"/>
    <hyperlink r:id="rId3" ref="C10"/>
  </hyperlinks>
  <printOptions/>
  <pageMargins bottom="0.75" footer="0.0" header="0.0" left="0.7" right="0.7" top="0.75"/>
  <pageSetup orientation="landscape"/>
  <drawing r:id="rId4"/>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3" width="19.13"/>
    <col customWidth="1" min="4" max="4" width="21.88"/>
    <col customWidth="1" min="5" max="6" width="17.0"/>
    <col customWidth="1" min="7" max="7" width="18.0"/>
    <col customWidth="1" min="8" max="8" width="17.0"/>
    <col customWidth="1" min="9" max="10" width="19.13"/>
    <col customWidth="1" min="11" max="26" width="10.0"/>
  </cols>
  <sheetData>
    <row r="1" ht="12.75" customHeight="1"/>
    <row r="2" ht="27.75" customHeight="1">
      <c r="D2" s="2" t="s">
        <v>1</v>
      </c>
    </row>
    <row r="3" ht="12.75" customHeight="1"/>
    <row r="4" ht="12.75" customHeight="1"/>
    <row r="5" ht="43.5" customHeight="1">
      <c r="A5" s="3" t="s">
        <v>2</v>
      </c>
      <c r="B5" s="4"/>
      <c r="C5" s="4"/>
      <c r="D5" s="4"/>
      <c r="E5" s="4"/>
      <c r="F5" s="4"/>
      <c r="G5" s="4"/>
      <c r="H5" s="4"/>
      <c r="I5" s="4"/>
      <c r="J5" s="5"/>
    </row>
    <row r="6" ht="15.75" customHeight="1"/>
    <row r="7" ht="75.75" customHeight="1">
      <c r="A7" s="6" t="s">
        <v>3</v>
      </c>
      <c r="B7" s="48" t="s">
        <v>297</v>
      </c>
      <c r="C7" s="48" t="s">
        <v>298</v>
      </c>
      <c r="D7" s="48" t="s">
        <v>299</v>
      </c>
      <c r="E7" s="48" t="s">
        <v>300</v>
      </c>
      <c r="F7" s="49" t="s">
        <v>301</v>
      </c>
      <c r="G7" s="50" t="s">
        <v>302</v>
      </c>
      <c r="H7" s="48" t="s">
        <v>10</v>
      </c>
      <c r="I7" s="48" t="s">
        <v>303</v>
      </c>
      <c r="J7" s="48" t="s">
        <v>304</v>
      </c>
      <c r="K7" s="10"/>
      <c r="L7" s="10"/>
      <c r="M7" s="10"/>
      <c r="N7" s="10"/>
      <c r="O7" s="10"/>
      <c r="P7" s="10"/>
      <c r="Q7" s="10"/>
      <c r="R7" s="10"/>
      <c r="S7" s="10"/>
      <c r="T7" s="10"/>
      <c r="U7" s="10"/>
      <c r="V7" s="10"/>
      <c r="W7" s="10"/>
      <c r="X7" s="10"/>
      <c r="Y7" s="10"/>
      <c r="Z7" s="10"/>
    </row>
    <row r="8" ht="50.25" customHeight="1">
      <c r="A8" s="60" t="s">
        <v>13</v>
      </c>
      <c r="B8" s="109" t="s">
        <v>108</v>
      </c>
      <c r="C8" s="61" t="s">
        <v>305</v>
      </c>
      <c r="D8" s="104" t="s">
        <v>306</v>
      </c>
      <c r="E8" s="113">
        <v>659600.0</v>
      </c>
      <c r="F8" s="106">
        <f t="shared" ref="F8:F10" si="1">E8*1.19</f>
        <v>784924</v>
      </c>
      <c r="G8" s="116">
        <v>204.82</v>
      </c>
      <c r="H8" s="112">
        <v>3800.0</v>
      </c>
      <c r="I8" s="109" t="s">
        <v>63</v>
      </c>
      <c r="J8" s="117" t="s">
        <v>307</v>
      </c>
    </row>
    <row r="9" ht="50.25" customHeight="1">
      <c r="A9" s="60" t="s">
        <v>19</v>
      </c>
      <c r="B9" s="103" t="s">
        <v>108</v>
      </c>
      <c r="C9" s="61" t="s">
        <v>308</v>
      </c>
      <c r="D9" s="110" t="s">
        <v>309</v>
      </c>
      <c r="E9" s="113">
        <v>509000.0</v>
      </c>
      <c r="F9" s="106">
        <f t="shared" si="1"/>
        <v>605710</v>
      </c>
      <c r="G9" s="116">
        <v>157.88</v>
      </c>
      <c r="H9" s="112">
        <v>3800.0</v>
      </c>
      <c r="I9" s="109" t="s">
        <v>63</v>
      </c>
      <c r="J9" s="118" t="s">
        <v>310</v>
      </c>
    </row>
    <row r="10" ht="50.25" customHeight="1">
      <c r="A10" s="60" t="s">
        <v>24</v>
      </c>
      <c r="B10" s="109" t="s">
        <v>108</v>
      </c>
      <c r="C10" s="61" t="s">
        <v>311</v>
      </c>
      <c r="D10" s="110" t="s">
        <v>312</v>
      </c>
      <c r="E10" s="113">
        <v>580000.0</v>
      </c>
      <c r="F10" s="106">
        <f t="shared" si="1"/>
        <v>690200</v>
      </c>
      <c r="G10" s="116">
        <v>180.11</v>
      </c>
      <c r="H10" s="112">
        <v>3800.0</v>
      </c>
      <c r="I10" s="109" t="s">
        <v>63</v>
      </c>
      <c r="J10" s="118" t="s">
        <v>313</v>
      </c>
    </row>
    <row r="11" ht="15.0" hidden="1" customHeight="1">
      <c r="A11" s="25"/>
      <c r="B11" s="69"/>
      <c r="C11" s="69"/>
      <c r="D11" s="69"/>
      <c r="E11" s="69"/>
      <c r="F11" s="69"/>
      <c r="G11" s="69"/>
      <c r="H11" s="69"/>
      <c r="I11" s="69"/>
      <c r="J11" s="69"/>
    </row>
    <row r="12" ht="12.75" customHeight="1"/>
    <row r="13" ht="138.75" customHeight="1">
      <c r="A13" s="27" t="s">
        <v>314</v>
      </c>
      <c r="B13" s="4"/>
      <c r="C13" s="4"/>
      <c r="D13" s="4"/>
      <c r="E13" s="4"/>
      <c r="F13" s="4"/>
      <c r="G13" s="4"/>
      <c r="H13" s="4"/>
      <c r="I13" s="4"/>
      <c r="J13" s="5"/>
    </row>
    <row r="14" ht="12.75" customHeight="1"/>
    <row r="15" ht="75.0" customHeight="1">
      <c r="A15" s="27" t="s">
        <v>315</v>
      </c>
      <c r="B15" s="4"/>
      <c r="C15" s="4"/>
      <c r="D15" s="4"/>
      <c r="E15" s="4"/>
      <c r="F15" s="4"/>
      <c r="G15" s="4"/>
      <c r="H15" s="4"/>
      <c r="I15" s="4"/>
      <c r="J15" s="5"/>
    </row>
    <row r="16" ht="12.75" customHeight="1"/>
    <row r="17" ht="12.75" customHeight="1"/>
    <row r="18" ht="12.75" customHeight="1"/>
    <row r="19" ht="12.75" customHeight="1"/>
    <row r="20" ht="12.75" customHeight="1"/>
    <row r="21" ht="12.75" customHeight="1"/>
    <row r="22" ht="12.75" customHeight="1"/>
    <row r="23" ht="12.75" customHeight="1"/>
    <row r="24" ht="12.75" customHeight="1"/>
    <row r="25" ht="12.75" customHeight="1"/>
    <row r="26" ht="12.75" customHeight="1">
      <c r="D26" s="28"/>
      <c r="E26" s="28"/>
      <c r="F26" s="29"/>
      <c r="G26" s="29"/>
    </row>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mergeCells count="4">
    <mergeCell ref="D2:H2"/>
    <mergeCell ref="A5:J5"/>
    <mergeCell ref="A13:J13"/>
    <mergeCell ref="A15:J15"/>
  </mergeCells>
  <hyperlinks>
    <hyperlink r:id="rId1" location="is_advertising=true&amp;searchVariation=MCO18720204&amp;backend_model=search-backend&amp;position=1&amp;search_layout=stack&amp;type=pad&amp;tracking_id=eef054d1-add3-411c-a370-1174a517bc1a&amp;ad_domain=VQCATCORE_LST&amp;ad_position=1&amp;ad_click_id=YjI2NzE4YTItYmYxNC00NTc4LWJhM2UtY2UzMDkxNmE5OGEy" ref="C8"/>
    <hyperlink r:id="rId2" location="polycard_client=search-nordic&amp;search_layout=stack&amp;position=25&amp;type=product&amp;tracking_id=4863590a-ae18-489d-81d5-aede30d620cf&amp;wid=MCO2828732580&amp;sid=search" ref="C9"/>
    <hyperlink r:id="rId3" location="polycard_client=search-nordic&amp;search_layout=stack&amp;position=1&amp;type=product&amp;tracking_id=584e9757-e365-4535-a6ea-0c8619111eab&amp;wid=MCO1164805894&amp;sid=search" ref="C10"/>
  </hyperlinks>
  <printOptions/>
  <pageMargins bottom="0.75" footer="0.0" header="0.0" left="0.7" right="0.7" top="0.75"/>
  <pageSetup orientation="landscape"/>
  <drawing r:id="rId4"/>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3" width="19.13"/>
    <col customWidth="1" min="4" max="4" width="21.88"/>
    <col customWidth="1" min="5" max="6" width="17.0"/>
    <col customWidth="1" min="7" max="7" width="18.0"/>
    <col customWidth="1" min="8" max="8" width="17.0"/>
    <col customWidth="1" min="9" max="10" width="19.13"/>
    <col customWidth="1" min="11" max="26" width="10.0"/>
  </cols>
  <sheetData>
    <row r="1" ht="12.75" customHeight="1"/>
    <row r="2" ht="27.75" customHeight="1">
      <c r="D2" s="2" t="s">
        <v>1</v>
      </c>
    </row>
    <row r="3" ht="12.75" customHeight="1"/>
    <row r="4" ht="12.75" customHeight="1"/>
    <row r="5" ht="43.5" customHeight="1">
      <c r="A5" s="76">
        <v>0.0</v>
      </c>
      <c r="B5" s="4"/>
      <c r="C5" s="4"/>
      <c r="D5" s="4"/>
      <c r="E5" s="4"/>
      <c r="F5" s="4"/>
      <c r="G5" s="4"/>
      <c r="H5" s="4"/>
      <c r="I5" s="4"/>
      <c r="J5" s="5"/>
    </row>
    <row r="6" ht="15.75" customHeight="1"/>
    <row r="7" ht="75.75" customHeight="1">
      <c r="A7" s="6" t="s">
        <v>3</v>
      </c>
      <c r="B7" s="48" t="s">
        <v>316</v>
      </c>
      <c r="C7" s="48" t="s">
        <v>317</v>
      </c>
      <c r="D7" s="48" t="s">
        <v>318</v>
      </c>
      <c r="E7" s="48" t="s">
        <v>319</v>
      </c>
      <c r="F7" s="49" t="s">
        <v>320</v>
      </c>
      <c r="G7" s="50" t="s">
        <v>321</v>
      </c>
      <c r="H7" s="48" t="s">
        <v>10</v>
      </c>
      <c r="I7" s="48" t="s">
        <v>322</v>
      </c>
      <c r="J7" s="48" t="s">
        <v>323</v>
      </c>
      <c r="K7" s="10"/>
      <c r="L7" s="10"/>
      <c r="M7" s="10"/>
      <c r="N7" s="10"/>
      <c r="O7" s="10"/>
      <c r="P7" s="10"/>
      <c r="Q7" s="10"/>
      <c r="R7" s="10"/>
      <c r="S7" s="10"/>
      <c r="T7" s="10"/>
      <c r="U7" s="10"/>
      <c r="V7" s="10"/>
      <c r="W7" s="10"/>
      <c r="X7" s="10"/>
      <c r="Y7" s="10"/>
      <c r="Z7" s="10"/>
    </row>
    <row r="8" ht="50.25" customHeight="1">
      <c r="A8" s="60" t="s">
        <v>13</v>
      </c>
      <c r="B8" s="109" t="s">
        <v>69</v>
      </c>
      <c r="C8" s="119" t="s">
        <v>324</v>
      </c>
      <c r="D8" s="120" t="s">
        <v>325</v>
      </c>
      <c r="E8" s="83">
        <v>37900.0</v>
      </c>
      <c r="F8" s="106">
        <f t="shared" ref="F8:F10" si="1">E8*1.19</f>
        <v>45101</v>
      </c>
      <c r="G8" s="121">
        <v>11.61</v>
      </c>
      <c r="H8" s="112">
        <v>3800.0</v>
      </c>
      <c r="I8" s="109" t="s">
        <v>17</v>
      </c>
      <c r="J8" s="120" t="s">
        <v>326</v>
      </c>
    </row>
    <row r="9" ht="50.25" customHeight="1">
      <c r="A9" s="60" t="s">
        <v>19</v>
      </c>
      <c r="B9" s="109" t="s">
        <v>108</v>
      </c>
      <c r="C9" s="119" t="s">
        <v>327</v>
      </c>
      <c r="D9" s="120" t="s">
        <v>328</v>
      </c>
      <c r="E9" s="83">
        <v>59900.0</v>
      </c>
      <c r="F9" s="106">
        <f t="shared" si="1"/>
        <v>71281</v>
      </c>
      <c r="G9" s="121">
        <v>18.35</v>
      </c>
      <c r="H9" s="112">
        <v>3800.0</v>
      </c>
      <c r="I9" s="109" t="s">
        <v>17</v>
      </c>
      <c r="J9" s="120" t="s">
        <v>329</v>
      </c>
    </row>
    <row r="10" ht="50.25" customHeight="1">
      <c r="A10" s="60" t="s">
        <v>24</v>
      </c>
      <c r="B10" s="103" t="s">
        <v>83</v>
      </c>
      <c r="C10" s="13" t="s">
        <v>154</v>
      </c>
      <c r="D10" s="104" t="s">
        <v>330</v>
      </c>
      <c r="E10" s="105">
        <v>119900.0</v>
      </c>
      <c r="F10" s="106">
        <f t="shared" si="1"/>
        <v>142681</v>
      </c>
      <c r="G10" s="116">
        <v>36.52</v>
      </c>
      <c r="H10" s="112">
        <v>3800.0</v>
      </c>
      <c r="I10" s="109" t="s">
        <v>17</v>
      </c>
      <c r="J10" s="103" t="s">
        <v>156</v>
      </c>
    </row>
    <row r="11" ht="15.0" hidden="1" customHeight="1">
      <c r="A11" s="25"/>
      <c r="B11" s="69"/>
      <c r="C11" s="69"/>
      <c r="D11" s="69"/>
      <c r="E11" s="69"/>
      <c r="F11" s="69"/>
      <c r="G11" s="69"/>
      <c r="H11" s="69"/>
      <c r="I11" s="69"/>
      <c r="J11" s="69"/>
    </row>
    <row r="12" ht="12.75" customHeight="1"/>
    <row r="13" ht="138.75" customHeight="1">
      <c r="A13" s="27" t="s">
        <v>331</v>
      </c>
      <c r="B13" s="4"/>
      <c r="C13" s="4"/>
      <c r="D13" s="4"/>
      <c r="E13" s="4"/>
      <c r="F13" s="4"/>
      <c r="G13" s="4"/>
      <c r="H13" s="4"/>
      <c r="I13" s="4"/>
      <c r="J13" s="5"/>
    </row>
    <row r="14" ht="12.75" customHeight="1"/>
    <row r="15" ht="75.0" customHeight="1">
      <c r="A15" s="27" t="s">
        <v>332</v>
      </c>
      <c r="B15" s="4"/>
      <c r="C15" s="4"/>
      <c r="D15" s="4"/>
      <c r="E15" s="4"/>
      <c r="F15" s="4"/>
      <c r="G15" s="4"/>
      <c r="H15" s="4"/>
      <c r="I15" s="4"/>
      <c r="J15" s="5"/>
    </row>
    <row r="16" ht="12.75" customHeight="1"/>
    <row r="17" ht="12.75" customHeight="1"/>
    <row r="18" ht="12.75" customHeight="1"/>
    <row r="19" ht="12.75" customHeight="1"/>
    <row r="20" ht="12.75" customHeight="1"/>
    <row r="21" ht="12.75" customHeight="1"/>
    <row r="22" ht="12.75" customHeight="1"/>
    <row r="23" ht="12.75" customHeight="1"/>
    <row r="24" ht="12.75" customHeight="1"/>
    <row r="25" ht="12.75" customHeight="1"/>
    <row r="26" ht="12.75" customHeight="1">
      <c r="D26" s="28"/>
      <c r="E26" s="28"/>
      <c r="F26" s="29"/>
      <c r="G26" s="29"/>
    </row>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4">
    <mergeCell ref="D2:H2"/>
    <mergeCell ref="A5:J5"/>
    <mergeCell ref="A13:J13"/>
    <mergeCell ref="A15:J15"/>
  </mergeCells>
  <hyperlinks>
    <hyperlink r:id="rId1" ref="C8"/>
    <hyperlink r:id="rId2" location="polycard_client=search-nordic&amp;search_layout=stack&amp;position=9&amp;type=product&amp;tracking_id=c23ed1cd-2eda-422d-b58c-a8483077138d&amp;wid=MCO1575073313&amp;sid=search" ref="C9"/>
    <hyperlink r:id="rId3" ref="C10"/>
  </hyperlinks>
  <printOptions/>
  <pageMargins bottom="0.75" footer="0.0" header="0.0" left="0.7" right="0.7" top="0.75"/>
  <pageSetup orientation="landscape"/>
  <drawing r:id="rId4"/>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3" width="19.13"/>
    <col customWidth="1" min="4" max="4" width="21.88"/>
    <col customWidth="1" min="5" max="6" width="17.0"/>
    <col customWidth="1" min="7" max="7" width="18.0"/>
    <col customWidth="1" min="8" max="8" width="17.0"/>
    <col customWidth="1" min="9" max="10" width="19.13"/>
    <col customWidth="1" min="11" max="26" width="10.0"/>
  </cols>
  <sheetData>
    <row r="1" ht="12.75" customHeight="1">
      <c r="A1" s="29" t="s">
        <v>333</v>
      </c>
    </row>
    <row r="2" ht="27.75" customHeight="1">
      <c r="D2" s="2" t="s">
        <v>1</v>
      </c>
    </row>
    <row r="3" ht="12.75" customHeight="1"/>
    <row r="4" ht="12.75" customHeight="1"/>
    <row r="5" ht="43.5" customHeight="1">
      <c r="A5" s="3" t="s">
        <v>2</v>
      </c>
      <c r="B5" s="4"/>
      <c r="C5" s="4"/>
      <c r="D5" s="4"/>
      <c r="E5" s="4"/>
      <c r="F5" s="4"/>
      <c r="G5" s="4"/>
      <c r="H5" s="4"/>
      <c r="I5" s="4"/>
      <c r="J5" s="5"/>
    </row>
    <row r="6" ht="15.75" customHeight="1"/>
    <row r="7" ht="75.75" customHeight="1">
      <c r="A7" s="6" t="s">
        <v>3</v>
      </c>
      <c r="B7" s="48" t="s">
        <v>334</v>
      </c>
      <c r="C7" s="48" t="s">
        <v>335</v>
      </c>
      <c r="D7" s="48" t="s">
        <v>336</v>
      </c>
      <c r="E7" s="48" t="s">
        <v>337</v>
      </c>
      <c r="F7" s="49" t="s">
        <v>338</v>
      </c>
      <c r="G7" s="50" t="s">
        <v>339</v>
      </c>
      <c r="H7" s="48" t="s">
        <v>10</v>
      </c>
      <c r="I7" s="48" t="s">
        <v>340</v>
      </c>
      <c r="J7" s="48" t="s">
        <v>341</v>
      </c>
      <c r="K7" s="10"/>
      <c r="L7" s="10"/>
      <c r="M7" s="10"/>
      <c r="N7" s="10"/>
      <c r="O7" s="10"/>
      <c r="P7" s="10"/>
      <c r="Q7" s="10"/>
      <c r="R7" s="10"/>
      <c r="S7" s="10"/>
      <c r="T7" s="10"/>
      <c r="U7" s="10"/>
      <c r="V7" s="10"/>
      <c r="W7" s="10"/>
      <c r="X7" s="10"/>
      <c r="Y7" s="10"/>
      <c r="Z7" s="10"/>
    </row>
    <row r="8" ht="50.25" customHeight="1">
      <c r="A8" s="60" t="s">
        <v>13</v>
      </c>
      <c r="B8" s="109" t="s">
        <v>342</v>
      </c>
      <c r="C8" s="119" t="s">
        <v>343</v>
      </c>
      <c r="D8" s="120" t="s">
        <v>344</v>
      </c>
      <c r="E8" s="83">
        <v>29000.0</v>
      </c>
      <c r="F8" s="106">
        <f t="shared" ref="F8:F10" si="1">E8*1.19</f>
        <v>34510</v>
      </c>
      <c r="G8" s="106">
        <v>8.86</v>
      </c>
      <c r="H8" s="113">
        <v>3800.0</v>
      </c>
      <c r="I8" s="109" t="s">
        <v>17</v>
      </c>
      <c r="J8" s="120" t="s">
        <v>345</v>
      </c>
    </row>
    <row r="9" ht="68.25" customHeight="1">
      <c r="A9" s="60" t="s">
        <v>19</v>
      </c>
      <c r="B9" s="109" t="s">
        <v>65</v>
      </c>
      <c r="C9" s="119" t="s">
        <v>346</v>
      </c>
      <c r="D9" s="120" t="s">
        <v>347</v>
      </c>
      <c r="E9" s="122">
        <v>42000.0</v>
      </c>
      <c r="F9" s="106">
        <f t="shared" si="1"/>
        <v>49980</v>
      </c>
      <c r="G9" s="106">
        <v>12.84</v>
      </c>
      <c r="H9" s="113">
        <v>3800.0</v>
      </c>
      <c r="I9" s="109" t="s">
        <v>17</v>
      </c>
      <c r="J9" s="120" t="s">
        <v>348</v>
      </c>
    </row>
    <row r="10" ht="50.25" customHeight="1">
      <c r="A10" s="60" t="s">
        <v>24</v>
      </c>
      <c r="B10" s="103" t="s">
        <v>65</v>
      </c>
      <c r="C10" s="61" t="s">
        <v>154</v>
      </c>
      <c r="D10" s="104" t="s">
        <v>155</v>
      </c>
      <c r="E10" s="105">
        <v>119900.0</v>
      </c>
      <c r="F10" s="106">
        <f t="shared" si="1"/>
        <v>142681</v>
      </c>
      <c r="G10" s="113">
        <v>36.52</v>
      </c>
      <c r="H10" s="113">
        <v>3800.0</v>
      </c>
      <c r="I10" s="109" t="s">
        <v>17</v>
      </c>
      <c r="J10" s="123" t="s">
        <v>156</v>
      </c>
    </row>
    <row r="11" ht="15.0" hidden="1" customHeight="1">
      <c r="A11" s="25"/>
      <c r="B11" s="69"/>
      <c r="C11" s="69"/>
      <c r="D11" s="69"/>
      <c r="E11" s="69"/>
      <c r="F11" s="69"/>
      <c r="G11" s="69"/>
      <c r="H11" s="69"/>
      <c r="I11" s="69"/>
      <c r="J11" s="69"/>
    </row>
    <row r="12" ht="12.75" customHeight="1"/>
    <row r="13" ht="138.75" customHeight="1">
      <c r="A13" s="27" t="s">
        <v>349</v>
      </c>
      <c r="B13" s="4"/>
      <c r="C13" s="4"/>
      <c r="D13" s="4"/>
      <c r="E13" s="4"/>
      <c r="F13" s="4"/>
      <c r="G13" s="4"/>
      <c r="H13" s="4"/>
      <c r="I13" s="4"/>
      <c r="J13" s="5"/>
    </row>
    <row r="14" ht="12.75" customHeight="1"/>
    <row r="15" ht="75.0" customHeight="1">
      <c r="A15" s="27" t="s">
        <v>350</v>
      </c>
      <c r="B15" s="4"/>
      <c r="C15" s="4"/>
      <c r="D15" s="4"/>
      <c r="E15" s="4"/>
      <c r="F15" s="4"/>
      <c r="G15" s="4"/>
      <c r="H15" s="4"/>
      <c r="I15" s="4"/>
      <c r="J15" s="5"/>
    </row>
    <row r="16" ht="12.75" customHeight="1"/>
    <row r="17" ht="12.75" customHeight="1"/>
    <row r="18" ht="12.75" customHeight="1"/>
    <row r="19" ht="12.75" customHeight="1"/>
    <row r="20" ht="12.75" customHeight="1"/>
    <row r="21" ht="12.75" customHeight="1"/>
    <row r="22" ht="12.75" customHeight="1"/>
    <row r="23" ht="12.75" customHeight="1"/>
    <row r="24" ht="12.75" customHeight="1"/>
    <row r="25" ht="12.75" customHeight="1"/>
    <row r="26" ht="12.75" customHeight="1">
      <c r="D26" s="28"/>
      <c r="E26" s="28"/>
      <c r="F26" s="29"/>
      <c r="G26" s="29"/>
    </row>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4">
    <mergeCell ref="D2:H2"/>
    <mergeCell ref="A5:J5"/>
    <mergeCell ref="A13:J13"/>
    <mergeCell ref="A15:J15"/>
  </mergeCells>
  <hyperlinks>
    <hyperlink r:id="rId1" location="polycard_client=search-nordic&amp;search_layout=stack&amp;position=26&amp;type=product&amp;tracking_id=cf30d6e6-2858-4afb-8771-15577523beb6&amp;wid=MCO1651585475&amp;sid=search" ref="C8"/>
    <hyperlink r:id="rId2" ref="C9"/>
    <hyperlink r:id="rId3" ref="C10"/>
  </hyperlinks>
  <printOptions/>
  <pageMargins bottom="0.75" footer="0.0" header="0.0" left="0.7" right="0.7" top="0.75"/>
  <pageSetup orientation="landscape"/>
  <drawing r:id="rId4"/>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3" width="19.13"/>
    <col customWidth="1" min="4" max="4" width="21.88"/>
    <col customWidth="1" min="5" max="6" width="17.0"/>
    <col customWidth="1" min="7" max="7" width="18.0"/>
    <col customWidth="1" min="8" max="8" width="17.0"/>
    <col customWidth="1" min="9" max="10" width="19.13"/>
    <col customWidth="1" min="11" max="26" width="10.0"/>
  </cols>
  <sheetData>
    <row r="1" ht="12.75" customHeight="1">
      <c r="A1" s="29"/>
    </row>
    <row r="2" ht="27.75" customHeight="1">
      <c r="D2" s="2" t="s">
        <v>1</v>
      </c>
    </row>
    <row r="3" ht="12.75" customHeight="1"/>
    <row r="4" ht="12.75" customHeight="1"/>
    <row r="5" ht="43.5" customHeight="1">
      <c r="A5" s="3" t="s">
        <v>2</v>
      </c>
      <c r="B5" s="4"/>
      <c r="C5" s="4"/>
      <c r="D5" s="4"/>
      <c r="E5" s="4"/>
      <c r="F5" s="4"/>
      <c r="G5" s="4"/>
      <c r="H5" s="4"/>
      <c r="I5" s="4"/>
      <c r="J5" s="5"/>
    </row>
    <row r="6" ht="15.75" customHeight="1"/>
    <row r="7" ht="75.75" customHeight="1">
      <c r="A7" s="6" t="s">
        <v>3</v>
      </c>
      <c r="B7" s="48" t="s">
        <v>351</v>
      </c>
      <c r="C7" s="48" t="s">
        <v>352</v>
      </c>
      <c r="D7" s="48" t="s">
        <v>353</v>
      </c>
      <c r="E7" s="48" t="s">
        <v>354</v>
      </c>
      <c r="F7" s="49" t="s">
        <v>355</v>
      </c>
      <c r="G7" s="50" t="s">
        <v>356</v>
      </c>
      <c r="H7" s="48" t="s">
        <v>10</v>
      </c>
      <c r="I7" s="48" t="s">
        <v>357</v>
      </c>
      <c r="J7" s="48" t="s">
        <v>358</v>
      </c>
      <c r="K7" s="10"/>
      <c r="L7" s="10"/>
      <c r="M7" s="10"/>
      <c r="N7" s="10"/>
      <c r="O7" s="10"/>
      <c r="P7" s="10"/>
      <c r="Q7" s="10"/>
      <c r="R7" s="10"/>
      <c r="S7" s="10"/>
      <c r="T7" s="10"/>
      <c r="U7" s="10"/>
      <c r="V7" s="10"/>
      <c r="W7" s="10"/>
      <c r="X7" s="10"/>
      <c r="Y7" s="10"/>
      <c r="Z7" s="10"/>
    </row>
    <row r="8" ht="50.25" customHeight="1">
      <c r="A8" s="60" t="s">
        <v>13</v>
      </c>
      <c r="B8" s="103" t="s">
        <v>359</v>
      </c>
      <c r="C8" s="61" t="s">
        <v>360</v>
      </c>
      <c r="D8" s="104" t="s">
        <v>361</v>
      </c>
      <c r="E8" s="105">
        <v>65821.0</v>
      </c>
      <c r="F8" s="106">
        <f t="shared" ref="F8:F10" si="1">E8*1.19</f>
        <v>78326.99</v>
      </c>
      <c r="G8" s="121">
        <f t="shared" ref="G8:G10" si="2">(F8+E8)/3900</f>
        <v>36.96102308</v>
      </c>
      <c r="H8" s="124">
        <v>3800.0</v>
      </c>
      <c r="I8" s="109" t="s">
        <v>17</v>
      </c>
      <c r="J8" s="110" t="s">
        <v>362</v>
      </c>
    </row>
    <row r="9" ht="50.25" customHeight="1">
      <c r="A9" s="60" t="s">
        <v>19</v>
      </c>
      <c r="B9" s="103" t="s">
        <v>363</v>
      </c>
      <c r="C9" s="61" t="s">
        <v>364</v>
      </c>
      <c r="D9" s="110" t="s">
        <v>365</v>
      </c>
      <c r="E9" s="105">
        <v>41580.0</v>
      </c>
      <c r="F9" s="106">
        <f t="shared" si="1"/>
        <v>49480.2</v>
      </c>
      <c r="G9" s="121">
        <f t="shared" si="2"/>
        <v>23.34876923</v>
      </c>
      <c r="H9" s="125">
        <f>3800</f>
        <v>3800</v>
      </c>
      <c r="I9" s="109" t="s">
        <v>17</v>
      </c>
      <c r="J9" s="110" t="s">
        <v>366</v>
      </c>
    </row>
    <row r="10" ht="50.25" customHeight="1">
      <c r="A10" s="60" t="s">
        <v>24</v>
      </c>
      <c r="B10" s="103" t="s">
        <v>367</v>
      </c>
      <c r="C10" s="61" t="s">
        <v>368</v>
      </c>
      <c r="D10" s="110" t="s">
        <v>369</v>
      </c>
      <c r="E10" s="126">
        <v>40000.0</v>
      </c>
      <c r="F10" s="106">
        <f t="shared" si="1"/>
        <v>47600</v>
      </c>
      <c r="G10" s="121">
        <f t="shared" si="2"/>
        <v>22.46153846</v>
      </c>
      <c r="H10" s="124">
        <v>3800.0</v>
      </c>
      <c r="I10" s="109" t="s">
        <v>17</v>
      </c>
      <c r="J10" s="103" t="s">
        <v>370</v>
      </c>
    </row>
    <row r="11" ht="15.0" hidden="1" customHeight="1">
      <c r="A11" s="25"/>
      <c r="B11" s="69"/>
      <c r="C11" s="69"/>
      <c r="D11" s="69"/>
      <c r="E11" s="69"/>
      <c r="F11" s="69"/>
      <c r="G11" s="127">
        <f>F11+E11</f>
        <v>0</v>
      </c>
      <c r="H11" s="69"/>
      <c r="I11" s="69"/>
      <c r="J11" s="69"/>
    </row>
    <row r="12" ht="12.75" customHeight="1">
      <c r="G12" s="128"/>
    </row>
    <row r="13" ht="138.75" customHeight="1">
      <c r="A13" s="27" t="s">
        <v>371</v>
      </c>
      <c r="B13" s="4"/>
      <c r="C13" s="4"/>
      <c r="D13" s="4"/>
      <c r="E13" s="4"/>
      <c r="F13" s="4"/>
      <c r="G13" s="4"/>
      <c r="H13" s="4"/>
      <c r="I13" s="4"/>
      <c r="J13" s="5"/>
    </row>
    <row r="14" ht="12.75" customHeight="1"/>
    <row r="15" ht="75.0" customHeight="1">
      <c r="A15" s="27" t="s">
        <v>372</v>
      </c>
      <c r="B15" s="4"/>
      <c r="C15" s="4"/>
      <c r="D15" s="4"/>
      <c r="E15" s="4"/>
      <c r="F15" s="4"/>
      <c r="G15" s="4"/>
      <c r="H15" s="4"/>
      <c r="I15" s="4"/>
      <c r="J15" s="5"/>
    </row>
    <row r="16" ht="12.75" customHeight="1"/>
    <row r="17" ht="12.75" customHeight="1"/>
    <row r="18" ht="12.75" customHeight="1"/>
    <row r="19" ht="12.75" customHeight="1"/>
    <row r="20" ht="12.75" customHeight="1"/>
    <row r="21" ht="12.75" customHeight="1"/>
    <row r="22" ht="12.75" customHeight="1"/>
    <row r="23" ht="12.75" customHeight="1"/>
    <row r="24" ht="12.75" customHeight="1"/>
    <row r="25" ht="12.75" customHeight="1"/>
    <row r="26" ht="12.75" customHeight="1">
      <c r="D26" s="28"/>
      <c r="E26" s="28"/>
      <c r="F26" s="29"/>
      <c r="G26" s="29"/>
    </row>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mergeCells count="4">
    <mergeCell ref="D2:H2"/>
    <mergeCell ref="A5:J5"/>
    <mergeCell ref="A13:J13"/>
    <mergeCell ref="A15:J15"/>
  </mergeCells>
  <hyperlinks>
    <hyperlink r:id="rId1" ref="C8"/>
    <hyperlink r:id="rId2" ref="C9"/>
    <hyperlink r:id="rId3" ref="C10"/>
  </hyperlinks>
  <printOptions/>
  <pageMargins bottom="0.75" footer="0.0" header="0.0" left="0.7" right="0.7" top="0.75"/>
  <pageSetup orientation="landscape"/>
  <drawing r:id="rId4"/>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3" width="19.13"/>
    <col customWidth="1" min="4" max="4" width="21.88"/>
    <col customWidth="1" min="5" max="6" width="17.0"/>
    <col customWidth="1" min="7" max="7" width="18.0"/>
    <col customWidth="1" min="8" max="8" width="17.0"/>
    <col customWidth="1" min="9" max="10" width="19.13"/>
    <col customWidth="1" min="11" max="26" width="10.0"/>
  </cols>
  <sheetData>
    <row r="1" ht="12.75" customHeight="1">
      <c r="A1" s="29"/>
    </row>
    <row r="2" ht="27.75" customHeight="1">
      <c r="D2" s="2" t="s">
        <v>1</v>
      </c>
    </row>
    <row r="3" ht="12.75" customHeight="1"/>
    <row r="4" ht="12.75" customHeight="1"/>
    <row r="5" ht="43.5" customHeight="1">
      <c r="A5" s="3" t="s">
        <v>2</v>
      </c>
      <c r="B5" s="4"/>
      <c r="C5" s="4"/>
      <c r="D5" s="4"/>
      <c r="E5" s="4"/>
      <c r="F5" s="4"/>
      <c r="G5" s="4"/>
      <c r="H5" s="4"/>
      <c r="I5" s="4"/>
      <c r="J5" s="5"/>
    </row>
    <row r="6" ht="15.75" customHeight="1"/>
    <row r="7" ht="75.75" customHeight="1">
      <c r="A7" s="6" t="s">
        <v>3</v>
      </c>
      <c r="B7" s="48" t="s">
        <v>373</v>
      </c>
      <c r="C7" s="48" t="s">
        <v>374</v>
      </c>
      <c r="D7" s="48" t="s">
        <v>375</v>
      </c>
      <c r="E7" s="48" t="s">
        <v>376</v>
      </c>
      <c r="F7" s="49" t="s">
        <v>377</v>
      </c>
      <c r="G7" s="50" t="s">
        <v>378</v>
      </c>
      <c r="H7" s="48" t="s">
        <v>10</v>
      </c>
      <c r="I7" s="48" t="s">
        <v>379</v>
      </c>
      <c r="J7" s="48" t="s">
        <v>380</v>
      </c>
      <c r="K7" s="10"/>
      <c r="L7" s="10"/>
      <c r="M7" s="10"/>
      <c r="N7" s="10"/>
      <c r="O7" s="10"/>
      <c r="P7" s="10"/>
      <c r="Q7" s="10"/>
      <c r="R7" s="10"/>
      <c r="S7" s="10"/>
      <c r="T7" s="10"/>
      <c r="U7" s="10"/>
      <c r="V7" s="10"/>
      <c r="W7" s="10"/>
      <c r="X7" s="10"/>
      <c r="Y7" s="10"/>
      <c r="Z7" s="10"/>
    </row>
    <row r="8" ht="50.25" customHeight="1">
      <c r="A8" s="60" t="s">
        <v>13</v>
      </c>
      <c r="B8" s="129" t="s">
        <v>381</v>
      </c>
      <c r="C8" s="130" t="s">
        <v>382</v>
      </c>
      <c r="D8" s="130" t="s">
        <v>383</v>
      </c>
      <c r="E8" s="131">
        <v>132865.0</v>
      </c>
      <c r="F8" s="132">
        <f t="shared" ref="F8:F10" si="1">E8*1.19</f>
        <v>158109.35</v>
      </c>
      <c r="G8" s="37">
        <v>40.96</v>
      </c>
      <c r="H8" s="133">
        <v>3800.0</v>
      </c>
      <c r="I8" s="134" t="s">
        <v>63</v>
      </c>
      <c r="J8" s="135"/>
    </row>
    <row r="9" ht="50.25" customHeight="1">
      <c r="A9" s="60" t="s">
        <v>19</v>
      </c>
      <c r="B9" s="129" t="s">
        <v>384</v>
      </c>
      <c r="C9" s="130" t="s">
        <v>385</v>
      </c>
      <c r="D9" s="136" t="s">
        <v>386</v>
      </c>
      <c r="E9" s="131">
        <v>99000.0</v>
      </c>
      <c r="F9" s="132">
        <f t="shared" si="1"/>
        <v>117810</v>
      </c>
      <c r="G9" s="37">
        <v>30.52</v>
      </c>
      <c r="H9" s="133">
        <v>3800.0</v>
      </c>
      <c r="I9" s="134" t="s">
        <v>63</v>
      </c>
      <c r="J9" s="137" t="s">
        <v>387</v>
      </c>
    </row>
    <row r="10" ht="50.25" customHeight="1">
      <c r="A10" s="60" t="s">
        <v>24</v>
      </c>
      <c r="B10" s="134" t="s">
        <v>388</v>
      </c>
      <c r="C10" s="61" t="s">
        <v>389</v>
      </c>
      <c r="D10" s="138" t="s">
        <v>390</v>
      </c>
      <c r="E10" s="131">
        <v>2099099.0</v>
      </c>
      <c r="F10" s="132">
        <f t="shared" si="1"/>
        <v>2497927.81</v>
      </c>
      <c r="G10" s="37">
        <v>649.07</v>
      </c>
      <c r="H10" s="133">
        <v>3800.0</v>
      </c>
      <c r="I10" s="134" t="s">
        <v>63</v>
      </c>
      <c r="J10" s="137" t="s">
        <v>387</v>
      </c>
    </row>
    <row r="11" ht="15.0" hidden="1" customHeight="1">
      <c r="A11" s="25"/>
      <c r="B11" s="69"/>
      <c r="C11" s="69"/>
      <c r="D11" s="69"/>
      <c r="E11" s="69"/>
      <c r="F11" s="69"/>
      <c r="G11" s="69"/>
      <c r="H11" s="69"/>
      <c r="I11" s="69"/>
      <c r="J11" s="69"/>
    </row>
    <row r="12" ht="12.75" customHeight="1"/>
    <row r="13" ht="138.75" customHeight="1">
      <c r="A13" s="27" t="s">
        <v>391</v>
      </c>
      <c r="B13" s="4"/>
      <c r="C13" s="4"/>
      <c r="D13" s="4"/>
      <c r="E13" s="4"/>
      <c r="F13" s="4"/>
      <c r="G13" s="4"/>
      <c r="H13" s="4"/>
      <c r="I13" s="4"/>
      <c r="J13" s="5"/>
    </row>
    <row r="14" ht="12.75" customHeight="1"/>
    <row r="15" ht="75.0" customHeight="1">
      <c r="A15" s="27" t="s">
        <v>392</v>
      </c>
      <c r="B15" s="4"/>
      <c r="C15" s="4"/>
      <c r="D15" s="4"/>
      <c r="E15" s="4"/>
      <c r="F15" s="4"/>
      <c r="G15" s="4"/>
      <c r="H15" s="4"/>
      <c r="I15" s="4"/>
      <c r="J15" s="5"/>
    </row>
    <row r="16" ht="12.75" customHeight="1"/>
    <row r="17" ht="12.75" customHeight="1"/>
    <row r="18" ht="12.75" customHeight="1"/>
    <row r="19" ht="12.75" customHeight="1"/>
    <row r="20" ht="12.75" customHeight="1"/>
    <row r="21" ht="12.75" customHeight="1"/>
    <row r="22" ht="12.75" customHeight="1"/>
    <row r="23" ht="12.75" customHeight="1"/>
    <row r="24" ht="12.75" customHeight="1"/>
    <row r="25" ht="12.75" customHeight="1"/>
    <row r="26" ht="12.75" customHeight="1">
      <c r="D26" s="28"/>
      <c r="E26" s="28"/>
      <c r="F26" s="29"/>
      <c r="G26" s="29"/>
    </row>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mergeCells count="4">
    <mergeCell ref="D2:H2"/>
    <mergeCell ref="A5:J5"/>
    <mergeCell ref="A13:J13"/>
    <mergeCell ref="A15:J15"/>
  </mergeCells>
  <hyperlinks>
    <hyperlink r:id="rId1" ref="C8"/>
    <hyperlink r:id="rId2" ref="C9"/>
    <hyperlink r:id="rId3" ref="C10"/>
  </hyperlinks>
  <printOptions/>
  <pageMargins bottom="0.75" footer="0.0" header="0.0" left="0.7" right="0.7" top="0.75"/>
  <pageSetup orientation="landscape"/>
  <drawing r:id="rId4"/>
</worksheet>
</file>

<file path=xl/worksheets/sheet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3" width="19.13"/>
    <col customWidth="1" min="4" max="4" width="21.88"/>
    <col customWidth="1" min="5" max="6" width="17.0"/>
    <col customWidth="1" min="7" max="7" width="18.0"/>
    <col customWidth="1" min="8" max="8" width="17.0"/>
    <col customWidth="1" min="9" max="10" width="19.13"/>
    <col customWidth="1" min="11" max="26" width="10.0"/>
  </cols>
  <sheetData>
    <row r="1" ht="12.75" customHeight="1">
      <c r="A1" s="29"/>
    </row>
    <row r="2" ht="27.75" customHeight="1">
      <c r="D2" s="2" t="s">
        <v>1</v>
      </c>
    </row>
    <row r="3" ht="12.75" customHeight="1"/>
    <row r="4" ht="12.75" customHeight="1"/>
    <row r="5" ht="43.5" customHeight="1">
      <c r="A5" s="3" t="s">
        <v>2</v>
      </c>
      <c r="B5" s="4"/>
      <c r="C5" s="4"/>
      <c r="D5" s="4"/>
      <c r="E5" s="4"/>
      <c r="F5" s="4"/>
      <c r="G5" s="4"/>
      <c r="H5" s="4"/>
      <c r="I5" s="4"/>
      <c r="J5" s="5"/>
    </row>
    <row r="6" ht="15.75" customHeight="1"/>
    <row r="7" ht="75.75" customHeight="1">
      <c r="A7" s="6" t="s">
        <v>3</v>
      </c>
      <c r="B7" s="48" t="s">
        <v>393</v>
      </c>
      <c r="C7" s="48" t="s">
        <v>394</v>
      </c>
      <c r="D7" s="48" t="s">
        <v>395</v>
      </c>
      <c r="E7" s="48" t="s">
        <v>396</v>
      </c>
      <c r="F7" s="49" t="s">
        <v>397</v>
      </c>
      <c r="G7" s="50" t="s">
        <v>398</v>
      </c>
      <c r="H7" s="48" t="s">
        <v>10</v>
      </c>
      <c r="I7" s="48" t="s">
        <v>399</v>
      </c>
      <c r="J7" s="48" t="s">
        <v>400</v>
      </c>
      <c r="K7" s="10"/>
      <c r="L7" s="10"/>
      <c r="M7" s="10"/>
      <c r="N7" s="10"/>
      <c r="O7" s="10"/>
      <c r="P7" s="10"/>
      <c r="Q7" s="10"/>
      <c r="R7" s="10"/>
      <c r="S7" s="10"/>
      <c r="T7" s="10"/>
      <c r="U7" s="10"/>
      <c r="V7" s="10"/>
      <c r="W7" s="10"/>
      <c r="X7" s="10"/>
      <c r="Y7" s="10"/>
      <c r="Z7" s="10"/>
    </row>
    <row r="8" ht="50.25" customHeight="1">
      <c r="A8" s="60" t="s">
        <v>13</v>
      </c>
      <c r="B8" s="139" t="s">
        <v>367</v>
      </c>
      <c r="C8" s="140" t="s">
        <v>401</v>
      </c>
      <c r="D8" s="141" t="s">
        <v>402</v>
      </c>
      <c r="E8" s="142">
        <v>39900.0</v>
      </c>
      <c r="F8" s="143">
        <f t="shared" ref="F8:F10" si="1">E8*1.19</f>
        <v>47481</v>
      </c>
      <c r="G8" s="144">
        <v>12.3</v>
      </c>
      <c r="H8" s="124">
        <v>3800.0</v>
      </c>
      <c r="I8" s="145" t="s">
        <v>17</v>
      </c>
      <c r="J8" s="146" t="s">
        <v>403</v>
      </c>
    </row>
    <row r="9" ht="50.25" customHeight="1">
      <c r="A9" s="60" t="s">
        <v>19</v>
      </c>
      <c r="B9" s="139" t="s">
        <v>404</v>
      </c>
      <c r="C9" s="147" t="s">
        <v>405</v>
      </c>
      <c r="D9" s="139" t="s">
        <v>406</v>
      </c>
      <c r="E9" s="142">
        <v>57874.0</v>
      </c>
      <c r="F9" s="143">
        <f t="shared" si="1"/>
        <v>68870.06</v>
      </c>
      <c r="G9" s="144">
        <v>17.84</v>
      </c>
      <c r="H9" s="124">
        <v>3800.0</v>
      </c>
      <c r="I9" s="145" t="s">
        <v>17</v>
      </c>
      <c r="J9" s="145"/>
    </row>
    <row r="10" ht="50.25" customHeight="1">
      <c r="A10" s="60" t="s">
        <v>24</v>
      </c>
      <c r="B10" s="139" t="s">
        <v>407</v>
      </c>
      <c r="C10" s="148" t="s">
        <v>408</v>
      </c>
      <c r="D10" s="149" t="s">
        <v>361</v>
      </c>
      <c r="E10" s="142">
        <v>65935.0</v>
      </c>
      <c r="F10" s="143">
        <f t="shared" si="1"/>
        <v>78462.65</v>
      </c>
      <c r="G10" s="144">
        <v>20.32</v>
      </c>
      <c r="H10" s="124">
        <v>3800.0</v>
      </c>
      <c r="I10" s="145" t="s">
        <v>17</v>
      </c>
      <c r="J10" s="145"/>
    </row>
    <row r="11" ht="15.0" hidden="1" customHeight="1">
      <c r="A11" s="25"/>
      <c r="B11" s="69"/>
      <c r="C11" s="69"/>
      <c r="D11" s="69"/>
      <c r="E11" s="69"/>
      <c r="F11" s="69"/>
      <c r="G11" s="69"/>
      <c r="H11" s="69"/>
      <c r="I11" s="69"/>
      <c r="J11" s="69"/>
    </row>
    <row r="12" ht="12.75" customHeight="1"/>
    <row r="13" ht="138.75" customHeight="1">
      <c r="A13" s="27" t="s">
        <v>409</v>
      </c>
      <c r="B13" s="4"/>
      <c r="C13" s="4"/>
      <c r="D13" s="4"/>
      <c r="E13" s="4"/>
      <c r="F13" s="4"/>
      <c r="G13" s="4"/>
      <c r="H13" s="4"/>
      <c r="I13" s="4"/>
      <c r="J13" s="5"/>
    </row>
    <row r="14" ht="12.75" customHeight="1"/>
    <row r="15" ht="75.0" customHeight="1">
      <c r="A15" s="27" t="s">
        <v>410</v>
      </c>
      <c r="B15" s="4"/>
      <c r="C15" s="4"/>
      <c r="D15" s="4"/>
      <c r="E15" s="4"/>
      <c r="F15" s="4"/>
      <c r="G15" s="4"/>
      <c r="H15" s="4"/>
      <c r="I15" s="4"/>
      <c r="J15" s="5"/>
    </row>
    <row r="16" ht="12.75" customHeight="1"/>
    <row r="17" ht="12.75" customHeight="1"/>
    <row r="18" ht="12.75" customHeight="1"/>
    <row r="19" ht="12.75" customHeight="1"/>
    <row r="20" ht="12.75" customHeight="1"/>
    <row r="21" ht="12.75" customHeight="1"/>
    <row r="22" ht="12.75" customHeight="1"/>
    <row r="23" ht="12.75" customHeight="1"/>
    <row r="24" ht="12.75" customHeight="1"/>
    <row r="25" ht="12.75" customHeight="1"/>
    <row r="26" ht="12.75" customHeight="1">
      <c r="D26" s="28"/>
      <c r="E26" s="28"/>
      <c r="F26" s="29"/>
      <c r="G26" s="29"/>
    </row>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mergeCells count="4">
    <mergeCell ref="D2:H2"/>
    <mergeCell ref="A5:J5"/>
    <mergeCell ref="A13:J13"/>
    <mergeCell ref="A15:J15"/>
  </mergeCells>
  <hyperlinks>
    <hyperlink r:id="rId1" ref="C8"/>
    <hyperlink r:id="rId2" ref="C9"/>
    <hyperlink r:id="rId3" ref="C10"/>
  </hyperlinks>
  <printOptions/>
  <pageMargins bottom="0.75" footer="0.0" header="0.0" left="0.7" right="0.7" top="0.75"/>
  <pageSetup orientation="landscape"/>
  <drawing r:id="rId4"/>
</worksheet>
</file>

<file path=xl/worksheets/sheet2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3" width="19.13"/>
    <col customWidth="1" min="4" max="4" width="21.88"/>
    <col customWidth="1" min="5" max="6" width="17.0"/>
    <col customWidth="1" min="7" max="7" width="18.0"/>
    <col customWidth="1" min="8" max="8" width="17.0"/>
    <col customWidth="1" min="9" max="10" width="19.13"/>
    <col customWidth="1" min="11" max="26" width="10.0"/>
  </cols>
  <sheetData>
    <row r="1" ht="12.75" customHeight="1">
      <c r="A1" s="29"/>
    </row>
    <row r="2" ht="27.75" customHeight="1">
      <c r="D2" s="2" t="s">
        <v>1</v>
      </c>
    </row>
    <row r="3" ht="12.75" customHeight="1"/>
    <row r="4" ht="12.75" customHeight="1"/>
    <row r="5" ht="43.5" customHeight="1">
      <c r="A5" s="3" t="s">
        <v>2</v>
      </c>
      <c r="B5" s="4"/>
      <c r="C5" s="4"/>
      <c r="D5" s="4"/>
      <c r="E5" s="4"/>
      <c r="F5" s="4"/>
      <c r="G5" s="4"/>
      <c r="H5" s="4"/>
      <c r="I5" s="4"/>
      <c r="J5" s="5"/>
    </row>
    <row r="6" ht="15.75" customHeight="1"/>
    <row r="7" ht="75.75" customHeight="1">
      <c r="A7" s="6" t="s">
        <v>3</v>
      </c>
      <c r="B7" s="48" t="s">
        <v>411</v>
      </c>
      <c r="C7" s="48" t="s">
        <v>412</v>
      </c>
      <c r="D7" s="48" t="s">
        <v>413</v>
      </c>
      <c r="E7" s="48" t="s">
        <v>414</v>
      </c>
      <c r="F7" s="49" t="s">
        <v>415</v>
      </c>
      <c r="G7" s="50" t="s">
        <v>416</v>
      </c>
      <c r="H7" s="48" t="s">
        <v>10</v>
      </c>
      <c r="I7" s="48" t="s">
        <v>417</v>
      </c>
      <c r="J7" s="48" t="s">
        <v>418</v>
      </c>
      <c r="K7" s="10"/>
      <c r="L7" s="10"/>
      <c r="M7" s="10"/>
      <c r="N7" s="10"/>
      <c r="O7" s="10"/>
      <c r="P7" s="10"/>
      <c r="Q7" s="10"/>
      <c r="R7" s="10"/>
      <c r="S7" s="10"/>
      <c r="T7" s="10"/>
      <c r="U7" s="10"/>
      <c r="V7" s="10"/>
      <c r="W7" s="10"/>
      <c r="X7" s="10"/>
      <c r="Y7" s="10"/>
      <c r="Z7" s="10"/>
    </row>
    <row r="8" ht="50.25" customHeight="1">
      <c r="A8" s="60" t="s">
        <v>13</v>
      </c>
      <c r="B8" s="129" t="s">
        <v>381</v>
      </c>
      <c r="C8" s="130" t="s">
        <v>419</v>
      </c>
      <c r="D8" s="150" t="s">
        <v>420</v>
      </c>
      <c r="E8" s="151">
        <v>182260.0</v>
      </c>
      <c r="F8" s="152">
        <f t="shared" ref="F8:F10" si="1">E8*1.19</f>
        <v>216889.4</v>
      </c>
      <c r="G8" s="37">
        <v>56.17</v>
      </c>
      <c r="H8" s="153">
        <v>3800.0</v>
      </c>
      <c r="I8" s="109" t="s">
        <v>17</v>
      </c>
      <c r="J8" s="135"/>
    </row>
    <row r="9" ht="50.25" customHeight="1">
      <c r="A9" s="60" t="s">
        <v>19</v>
      </c>
      <c r="B9" s="129" t="s">
        <v>363</v>
      </c>
      <c r="C9" s="130" t="s">
        <v>421</v>
      </c>
      <c r="D9" s="129" t="s">
        <v>422</v>
      </c>
      <c r="E9" s="151">
        <v>202240.0</v>
      </c>
      <c r="F9" s="152">
        <f t="shared" si="1"/>
        <v>240665.6</v>
      </c>
      <c r="G9" s="37">
        <v>62.33</v>
      </c>
      <c r="H9" s="153">
        <v>3800.0</v>
      </c>
      <c r="I9" s="109" t="s">
        <v>17</v>
      </c>
      <c r="J9" s="135"/>
    </row>
    <row r="10" ht="50.25" customHeight="1">
      <c r="A10" s="60" t="s">
        <v>24</v>
      </c>
      <c r="B10" s="103" t="s">
        <v>423</v>
      </c>
      <c r="C10" s="61" t="s">
        <v>424</v>
      </c>
      <c r="D10" s="110" t="s">
        <v>425</v>
      </c>
      <c r="E10" s="105">
        <v>145900.0</v>
      </c>
      <c r="F10" s="152">
        <f t="shared" si="1"/>
        <v>173621</v>
      </c>
      <c r="G10" s="37">
        <v>44.97</v>
      </c>
      <c r="H10" s="153">
        <v>3800.0</v>
      </c>
      <c r="I10" s="109" t="s">
        <v>17</v>
      </c>
      <c r="J10" s="154"/>
    </row>
    <row r="11" ht="15.0" hidden="1" customHeight="1">
      <c r="A11" s="25"/>
      <c r="B11" s="69"/>
      <c r="C11" s="69"/>
      <c r="D11" s="69"/>
      <c r="E11" s="69"/>
      <c r="F11" s="69"/>
      <c r="G11" s="69"/>
      <c r="H11" s="69"/>
      <c r="I11" s="69"/>
      <c r="J11" s="69"/>
    </row>
    <row r="12" ht="12.75" customHeight="1"/>
    <row r="13" ht="138.75" customHeight="1">
      <c r="A13" s="27" t="s">
        <v>426</v>
      </c>
      <c r="B13" s="4"/>
      <c r="C13" s="4"/>
      <c r="D13" s="4"/>
      <c r="E13" s="4"/>
      <c r="F13" s="4"/>
      <c r="G13" s="4"/>
      <c r="H13" s="4"/>
      <c r="I13" s="4"/>
      <c r="J13" s="5"/>
    </row>
    <row r="14" ht="12.75" customHeight="1"/>
    <row r="15" ht="75.0" customHeight="1">
      <c r="A15" s="27" t="s">
        <v>427</v>
      </c>
      <c r="B15" s="4"/>
      <c r="C15" s="4"/>
      <c r="D15" s="4"/>
      <c r="E15" s="4"/>
      <c r="F15" s="4"/>
      <c r="G15" s="4"/>
      <c r="H15" s="4"/>
      <c r="I15" s="4"/>
      <c r="J15" s="5"/>
    </row>
    <row r="16" ht="12.75" customHeight="1"/>
    <row r="17" ht="12.75" customHeight="1"/>
    <row r="18" ht="12.75" customHeight="1"/>
    <row r="19" ht="12.75" customHeight="1"/>
    <row r="20" ht="12.75" customHeight="1"/>
    <row r="21" ht="12.75" customHeight="1"/>
    <row r="22" ht="12.75" customHeight="1"/>
    <row r="23" ht="12.75" customHeight="1"/>
    <row r="24" ht="12.75" customHeight="1"/>
    <row r="25" ht="12.75" customHeight="1"/>
    <row r="26" ht="12.75" customHeight="1">
      <c r="D26" s="28"/>
      <c r="E26" s="28"/>
      <c r="F26" s="29"/>
      <c r="G26" s="29"/>
    </row>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mergeCells count="4">
    <mergeCell ref="D2:H2"/>
    <mergeCell ref="A5:J5"/>
    <mergeCell ref="A13:J13"/>
    <mergeCell ref="A15:J15"/>
  </mergeCells>
  <hyperlinks>
    <hyperlink r:id="rId1" ref="C8"/>
    <hyperlink r:id="rId2" ref="C9"/>
    <hyperlink r:id="rId3" ref="C10"/>
  </hyperlinks>
  <printOptions/>
  <pageMargins bottom="0.75" footer="0.0" header="0.0" left="0.7" right="0.7" top="0.75"/>
  <pageSetup orientation="landscape"/>
  <drawing r:id="rId4"/>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2010-11-08T17:12:41Z</dcterms:created>
  <dc:creator>Administrador</dc:creator>
</cp:coreProperties>
</file>