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- AYUDA -" sheetId="1" r:id="rId4"/>
    <sheet state="visible" name="Precios " sheetId="2" r:id="rId5"/>
    <sheet state="visible" name="Precios  (2)" sheetId="3" r:id="rId6"/>
    <sheet state="hidden" name="Soporte" sheetId="4" r:id="rId7"/>
  </sheets>
  <externalReferences>
    <externalReference r:id="rId8"/>
  </externalReferences>
  <definedNames/>
  <calcPr/>
  <extLst>
    <ext uri="GoogleSheetsCustomDataVersion2">
      <go:sheetsCustomData xmlns:go="http://customooxmlschemas.google.com/" r:id="rId9" roundtripDataChecksum="q7y+kK+6fLAkGrPUtgvlFe4e6g+3KoO8eCp4XQpjpvo="/>
    </ext>
  </extLst>
</workbook>
</file>

<file path=xl/sharedStrings.xml><?xml version="1.0" encoding="utf-8"?>
<sst xmlns="http://schemas.openxmlformats.org/spreadsheetml/2006/main" count="100" uniqueCount="67">
  <si>
    <t>Ayuda</t>
  </si>
  <si>
    <t>Comparación de Precios entre diferentes proveedores</t>
  </si>
  <si>
    <t>Ingresa en la tabla los productos, los proveedores y sus precios</t>
  </si>
  <si>
    <t>ESTADÍSTICAS POR PRODUCTO</t>
  </si>
  <si>
    <t>PRODUCTO</t>
  </si>
  <si>
    <t>CANTIDAD</t>
  </si>
  <si>
    <t>PROVEEDOR 1</t>
  </si>
  <si>
    <t>PROVEEDOR 2</t>
  </si>
  <si>
    <t>PROVEEDOR 3</t>
  </si>
  <si>
    <t>PROVEEDOR 4</t>
  </si>
  <si>
    <t>PROVEEDOR 5</t>
  </si>
  <si>
    <t>PROVEEDOR 6</t>
  </si>
  <si>
    <t>PRECIO MÁS BAJO</t>
  </si>
  <si>
    <t>PRECIO PROMEDIO</t>
  </si>
  <si>
    <t>PRECIO MÁS ALTO</t>
  </si>
  <si>
    <t>Torre admin</t>
  </si>
  <si>
    <t>Monitor Admin</t>
  </si>
  <si>
    <t>Disco Solido Admin</t>
  </si>
  <si>
    <t>Disco Duro Interno Admin</t>
  </si>
  <si>
    <t>Servidor Admin</t>
  </si>
  <si>
    <t>Ram Admin</t>
  </si>
  <si>
    <t>Mouse Admin</t>
  </si>
  <si>
    <t>Teclado Admin</t>
  </si>
  <si>
    <t>Licencia Windows 11</t>
  </si>
  <si>
    <t>Total</t>
  </si>
  <si>
    <t>DATOS ADICIONALES</t>
  </si>
  <si>
    <t>TIEMPO DE ENTREGA (DÍAS)</t>
  </si>
  <si>
    <t>Horas de dia los 7 dias de la semana</t>
  </si>
  <si>
    <t>de 3 a 5 minutos</t>
  </si>
  <si>
    <t>3 a 10 dias habiles</t>
  </si>
  <si>
    <t>entrega de 2  dias habiles</t>
  </si>
  <si>
    <t>1 a 5 dias habiles</t>
  </si>
  <si>
    <t>5 dias laborales</t>
  </si>
  <si>
    <t>COSTO DE ENVÍO</t>
  </si>
  <si>
    <t>$ 7.055</t>
  </si>
  <si>
    <t>$287.497</t>
  </si>
  <si>
    <t>$295.39</t>
  </si>
  <si>
    <t>FORMAS DE PAGO</t>
  </si>
  <si>
    <t>contado</t>
  </si>
  <si>
    <t xml:space="preserve">Portatil Nosotros </t>
  </si>
  <si>
    <t>Monitor Nosotros</t>
  </si>
  <si>
    <t>Disco Duro Mecanico Nosotros</t>
  </si>
  <si>
    <t>Ram Nosotros</t>
  </si>
  <si>
    <t>Servidor Nosotros</t>
  </si>
  <si>
    <t>Tarjeta de Video Nosotros</t>
  </si>
  <si>
    <t>Procesador Nosotros</t>
  </si>
  <si>
    <t>Teclado Nosotros</t>
  </si>
  <si>
    <t>Mouse Nosotros</t>
  </si>
  <si>
    <t>Licencia Software</t>
  </si>
  <si>
    <t>Licencia Visual</t>
  </si>
  <si>
    <t>Licencia SQL</t>
  </si>
  <si>
    <t>Almendras</t>
  </si>
  <si>
    <t>Nueces</t>
  </si>
  <si>
    <t>Pistachos</t>
  </si>
  <si>
    <t>Pecán</t>
  </si>
  <si>
    <t>Bananas</t>
  </si>
  <si>
    <t>Pasas</t>
  </si>
  <si>
    <t>Gratis</t>
  </si>
  <si>
    <t>Efvo</t>
  </si>
  <si>
    <t>Mercado Pago</t>
  </si>
  <si>
    <t>Efectivo</t>
  </si>
  <si>
    <t xml:space="preserve">Tarjeta </t>
  </si>
  <si>
    <t>Tarjeta cuotas</t>
  </si>
  <si>
    <t>Piñones</t>
  </si>
  <si>
    <t>Cranberries</t>
  </si>
  <si>
    <t>Castañas</t>
  </si>
  <si>
    <t>China 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</si>
</sst>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\ #,##0.00"/>
    <numFmt numFmtId="165" formatCode="&quot;$&quot;\ #,##0.00;[Red]\-&quot;$&quot;\ #,##0.00"/>
  </numFmts>
  <fonts count="19">
    <font>
      <sz val="8.0"/>
      <color theme="1"/>
      <name val="Arial"/>
      <scheme val="minor"/>
    </font>
    <font>
      <sz val="12.0"/>
      <color theme="1"/>
      <name val="Calibri"/>
    </font>
    <font>
      <sz val="8.0"/>
      <color theme="1"/>
      <name val="Arial"/>
    </font>
    <font>
      <b/>
      <sz val="22.0"/>
      <color rgb="FF3F3F3F"/>
      <name val="Calibri"/>
    </font>
    <font>
      <sz val="10.0"/>
      <color theme="1"/>
      <name val="Calibri"/>
    </font>
    <font>
      <sz val="16.0"/>
      <color rgb="FF7F7F7F"/>
      <name val="Calibri"/>
    </font>
    <font>
      <sz val="20.0"/>
      <color theme="1"/>
      <name val="Calibri"/>
    </font>
    <font>
      <b/>
      <sz val="14.0"/>
      <color theme="0"/>
      <name val="Calibri"/>
    </font>
    <font/>
    <font>
      <b/>
      <sz val="14.0"/>
      <color rgb="FF8745EC"/>
      <name val="Calibri"/>
    </font>
    <font>
      <sz val="14.0"/>
      <color rgb="FF595959"/>
      <name val="Calibri"/>
    </font>
    <font>
      <b/>
      <sz val="14.0"/>
      <color rgb="FF595959"/>
      <name val="Calibri"/>
    </font>
    <font>
      <b/>
      <sz val="14.0"/>
      <color rgb="FF7F7F7F"/>
      <name val="Calibri"/>
    </font>
    <font>
      <sz val="10.0"/>
      <color rgb="FFFF0000"/>
      <name val="Calibri"/>
    </font>
    <font>
      <sz val="8.0"/>
      <color rgb="FF595959"/>
      <name val="Calibri"/>
    </font>
    <font>
      <sz val="11.0"/>
      <color rgb="FF4D5156"/>
      <name val="Arial"/>
    </font>
    <font>
      <sz val="18.0"/>
      <color rgb="FF000000"/>
      <name val="Proxima Nova"/>
    </font>
    <font>
      <sz val="11.0"/>
      <color rgb="FF000000"/>
      <name val="Arial"/>
    </font>
    <font>
      <sz val="13.0"/>
      <color rgb="FF595959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8745EC"/>
        <bgColor rgb="FF8745EC"/>
      </patternFill>
    </fill>
    <fill>
      <patternFill patternType="solid">
        <fgColor theme="0"/>
        <bgColor theme="0"/>
      </patternFill>
    </fill>
    <fill>
      <patternFill patternType="solid">
        <fgColor rgb="FFF8F3FF"/>
        <bgColor rgb="FFF8F3F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54">
    <border/>
    <border>
      <left/>
      <right/>
      <top/>
      <bottom/>
    </border>
    <border>
      <left/>
      <right/>
      <top/>
      <bottom style="thin">
        <color theme="0"/>
      </bottom>
    </border>
    <border>
      <left/>
      <right/>
      <top/>
    </border>
    <border>
      <left style="medium">
        <color rgb="FF8745EC"/>
      </left>
      <top style="medium">
        <color rgb="FF8745EC"/>
      </top>
    </border>
    <border>
      <top style="medium">
        <color rgb="FF8745EC"/>
      </top>
    </border>
    <border>
      <right style="medium">
        <color rgb="FF8745EC"/>
      </right>
      <top style="medium">
        <color rgb="FF8745EC"/>
      </top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bottom/>
    </border>
    <border>
      <left style="medium">
        <color rgb="FF8745EC"/>
      </left>
      <top/>
      <bottom/>
    </border>
    <border>
      <right style="medium">
        <color theme="0"/>
      </right>
      <top/>
      <bottom/>
    </border>
    <border>
      <left style="medium">
        <color theme="0"/>
      </left>
      <right style="medium">
        <color theme="0"/>
      </right>
      <top style="medium">
        <color theme="0"/>
      </top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rgb="FFA5A5A5"/>
      </right>
      <top style="thin">
        <color rgb="FF7F7F7F"/>
      </top>
      <bottom style="thin">
        <color rgb="FF7F7F7F"/>
      </bottom>
    </border>
    <border>
      <left style="thin">
        <color rgb="FFA5A5A5"/>
      </left>
      <top style="thin">
        <color rgb="FF7F7F7F"/>
      </top>
      <bottom style="thin">
        <color rgb="FF7F7F7F"/>
      </bottom>
    </border>
    <border>
      <left style="thin">
        <color rgb="FFA5A5A5"/>
      </left>
      <right style="thin">
        <color rgb="FFA5A5A5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A5A5A5"/>
      </right>
      <bottom style="thin">
        <color rgb="FF7F7F7F"/>
      </bottom>
    </border>
    <border>
      <left style="thin">
        <color rgb="FFA5A5A5"/>
      </left>
      <right style="thin">
        <color rgb="FFA5A5A5"/>
      </right>
      <bottom style="thin">
        <color rgb="FF7F7F7F"/>
      </bottom>
    </border>
    <border>
      <left style="thin">
        <color theme="0"/>
      </left>
      <top style="thin">
        <color theme="0"/>
      </top>
    </border>
    <border>
      <top style="thin">
        <color theme="0"/>
      </top>
    </border>
    <border>
      <left style="thin">
        <color rgb="FF7F7F7F"/>
      </left>
      <right style="thin">
        <color rgb="FFA5A5A5"/>
      </right>
      <top style="thin">
        <color rgb="FF7F7F7F"/>
      </top>
      <bottom style="dotted">
        <color rgb="FFA5A5A5"/>
      </bottom>
    </border>
    <border>
      <left style="thin">
        <color rgb="FFA5A5A5"/>
      </left>
      <right style="thin">
        <color rgb="FFA5A5A5"/>
      </right>
      <top style="thin">
        <color rgb="FF7F7F7F"/>
      </top>
      <bottom style="dotted">
        <color rgb="FFA5A5A5"/>
      </bottom>
    </border>
    <border>
      <left style="thin">
        <color theme="0"/>
      </left>
    </border>
    <border>
      <left style="thin">
        <color rgb="FF7F7F7F"/>
      </left>
      <right style="thin">
        <color rgb="FFA5A5A5"/>
      </right>
      <top style="dotted">
        <color rgb="FFA5A5A5"/>
      </top>
      <bottom style="dotted">
        <color rgb="FFA5A5A5"/>
      </bottom>
    </border>
    <border>
      <left style="thin">
        <color rgb="FF7F7F7F"/>
      </left>
      <right style="thin">
        <color rgb="FFA5A5A5"/>
      </right>
      <top style="dotted">
        <color rgb="FFA5A5A5"/>
      </top>
    </border>
    <border>
      <left style="thin">
        <color theme="0"/>
      </left>
      <bottom style="thin">
        <color theme="0"/>
      </bottom>
    </border>
    <border>
      <bottom style="thin">
        <color theme="0"/>
      </bottom>
    </border>
    <border>
      <right style="thin">
        <color rgb="FFA5A5A5"/>
      </right>
      <top style="dotted">
        <color rgb="FFA5A5A5"/>
      </top>
      <bottom style="thin">
        <color rgb="FF7F7F7F"/>
      </bottom>
    </border>
    <border>
      <left style="thin">
        <color rgb="FFA5A5A5"/>
      </left>
      <right style="thin">
        <color rgb="FFA5A5A5"/>
      </right>
      <top style="dotted">
        <color rgb="FFA5A5A5"/>
      </top>
      <bottom style="thin">
        <color rgb="FF7F7F7F"/>
      </bottom>
    </border>
    <border>
      <right style="thin">
        <color rgb="FFFFFF66"/>
      </right>
    </border>
    <border>
      <left style="thin">
        <color rgb="FFFFFF66"/>
      </left>
      <right style="thin">
        <color rgb="FFFFFF66"/>
      </right>
      <top style="thin">
        <color rgb="FFFFFFFF"/>
      </top>
      <bottom style="thin">
        <color rgb="FFF2F2F2"/>
      </bottom>
    </border>
    <border>
      <left style="thin">
        <color rgb="FFFFFF66"/>
      </left>
    </border>
    <border>
      <left style="thin">
        <color rgb="FFFFFF66"/>
      </left>
      <right style="thin">
        <color rgb="FFFFFF66"/>
      </right>
      <top style="thin">
        <color rgb="FFF2F2F2"/>
      </top>
      <bottom style="thin">
        <color rgb="FFF2F2F2"/>
      </bottom>
    </border>
    <border>
      <left style="medium">
        <color rgb="FF8745EC"/>
      </left>
      <top style="medium">
        <color rgb="FF8745EC"/>
      </top>
      <bottom style="thin">
        <color theme="0"/>
      </bottom>
    </border>
    <border>
      <top style="medium">
        <color rgb="FF8745EC"/>
      </top>
      <bottom style="thin">
        <color theme="0"/>
      </bottom>
    </border>
    <border>
      <right style="medium">
        <color rgb="FF8745EC"/>
      </right>
      <top style="medium">
        <color rgb="FF8745EC"/>
      </top>
      <bottom style="thin">
        <color theme="0"/>
      </bottom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rgb="FF8745EC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medium">
        <color rgb="FF8745EC"/>
      </right>
      <top style="thin">
        <color theme="0"/>
      </top>
      <bottom style="thin">
        <color theme="0"/>
      </bottom>
    </border>
    <border>
      <bottom style="medium">
        <color rgb="FFF2F2F2"/>
      </bottom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medium">
        <color rgb="FF8745EC"/>
      </right>
      <top style="thin">
        <color theme="0"/>
      </top>
      <bottom/>
    </border>
    <border>
      <top style="dotted">
        <color rgb="FFF2F2F2"/>
      </top>
      <bottom style="medium">
        <color rgb="FFF2F2F2"/>
      </bottom>
    </border>
    <border>
      <left/>
      <right/>
      <top/>
      <bottom style="medium">
        <color rgb="FFF2F2F2"/>
      </bottom>
    </border>
    <border>
      <left style="medium">
        <color rgb="FF8745EC"/>
      </left>
      <right style="thin">
        <color theme="0"/>
      </right>
      <top style="thin">
        <color theme="0"/>
      </top>
      <bottom/>
    </border>
    <border>
      <left style="thin">
        <color rgb="FF7F7F7F"/>
      </left>
      <right style="thin">
        <color rgb="FFA5A5A5"/>
      </right>
      <top style="thin">
        <color rgb="FF7F7F7F"/>
      </top>
      <bottom style="thin">
        <color rgb="FF7F7F7F"/>
      </bottom>
    </border>
    <border>
      <left style="thin">
        <color rgb="FFA5A5A5"/>
      </left>
      <right style="thin">
        <color rgb="FFA5A5A5"/>
      </right>
      <top style="dotted">
        <color rgb="FFA5A5A5"/>
      </top>
      <bottom style="dotted">
        <color rgb="FFA5A5A5"/>
      </bottom>
    </border>
    <border>
      <left style="thin">
        <color rgb="FF7F7F7F"/>
      </left>
      <right style="thin">
        <color rgb="FFA5A5A5"/>
      </right>
      <top style="dotted">
        <color rgb="FFA5A5A5"/>
      </top>
      <bottom style="thin">
        <color rgb="FF7F7F7F"/>
      </bottom>
    </border>
    <border>
      <left/>
      <right/>
      <top/>
      <bottom style="thin">
        <color rgb="FFF2F2F2"/>
      </bottom>
    </border>
    <border>
      <left/>
      <right/>
      <top style="thin">
        <color rgb="FFF2F2F2"/>
      </top>
      <bottom style="thin">
        <color rgb="FFF2F2F2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vertical="top"/>
    </xf>
    <xf borderId="1" fillId="3" fontId="4" numFmtId="0" xfId="0" applyBorder="1" applyFill="1" applyFont="1"/>
    <xf borderId="0" fillId="0" fontId="4" numFmtId="0" xfId="0" applyFont="1"/>
    <xf borderId="2" fillId="2" fontId="2" numFmtId="0" xfId="0" applyBorder="1" applyFont="1"/>
    <xf borderId="0" fillId="0" fontId="5" numFmtId="0" xfId="0" applyAlignment="1" applyFont="1">
      <alignment vertical="top"/>
    </xf>
    <xf borderId="1" fillId="3" fontId="6" numFmtId="0" xfId="0" applyAlignment="1" applyBorder="1" applyFont="1">
      <alignment vertical="center"/>
    </xf>
    <xf borderId="3" fillId="3" fontId="4" numFmtId="0" xfId="0" applyBorder="1" applyFont="1"/>
    <xf borderId="4" fillId="2" fontId="7" numFmtId="0" xfId="0" applyAlignment="1" applyBorder="1" applyFont="1">
      <alignment horizontal="center" shrinkToFit="0" vertical="center" wrapText="1"/>
    </xf>
    <xf borderId="5" fillId="0" fontId="8" numFmtId="0" xfId="0" applyBorder="1" applyFont="1"/>
    <xf borderId="6" fillId="0" fontId="8" numFmtId="0" xfId="0" applyBorder="1" applyFont="1"/>
    <xf borderId="7" fillId="3" fontId="1" numFmtId="0" xfId="0" applyAlignment="1" applyBorder="1" applyFont="1">
      <alignment horizontal="center"/>
    </xf>
    <xf borderId="8" fillId="4" fontId="9" numFmtId="0" xfId="0" applyAlignment="1" applyBorder="1" applyFill="1" applyFont="1">
      <alignment horizontal="center" readingOrder="0" shrinkToFit="0" vertical="center" wrapText="1"/>
    </xf>
    <xf borderId="8" fillId="2" fontId="7" numFmtId="0" xfId="0" applyAlignment="1" applyBorder="1" applyFont="1">
      <alignment horizontal="center" readingOrder="0" shrinkToFit="0" vertical="center" wrapText="1"/>
    </xf>
    <xf borderId="9" fillId="3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/>
    </xf>
    <xf borderId="7" fillId="3" fontId="1" numFmtId="0" xfId="0" applyBorder="1" applyFont="1"/>
    <xf borderId="8" fillId="3" fontId="10" numFmtId="164" xfId="0" applyAlignment="1" applyBorder="1" applyFont="1" applyNumberFormat="1">
      <alignment horizontal="center" shrinkToFit="0" vertical="center" wrapText="1"/>
    </xf>
    <xf borderId="8" fillId="4" fontId="10" numFmtId="2" xfId="0" applyAlignment="1" applyBorder="1" applyFont="1" applyNumberFormat="1">
      <alignment horizontal="center" shrinkToFit="0" vertical="center" wrapText="0"/>
    </xf>
    <xf borderId="8" fillId="3" fontId="10" numFmtId="164" xfId="0" applyAlignment="1" applyBorder="1" applyFont="1" applyNumberFormat="1">
      <alignment horizontal="center" readingOrder="0" shrinkToFit="0" vertical="center" wrapText="0"/>
    </xf>
    <xf borderId="8" fillId="4" fontId="10" numFmtId="164" xfId="0" applyAlignment="1" applyBorder="1" applyFont="1" applyNumberFormat="1">
      <alignment horizontal="center" readingOrder="0" shrinkToFit="0" vertical="center" wrapText="0"/>
    </xf>
    <xf borderId="8" fillId="4" fontId="10" numFmtId="164" xfId="0" applyAlignment="1" applyBorder="1" applyFont="1" applyNumberFormat="1">
      <alignment horizontal="center" shrinkToFit="0" vertical="center" wrapText="0"/>
    </xf>
    <xf borderId="8" fillId="4" fontId="11" numFmtId="164" xfId="0" applyAlignment="1" applyBorder="1" applyFont="1" applyNumberFormat="1">
      <alignment horizontal="center" shrinkToFit="0" vertical="center" wrapText="0"/>
    </xf>
    <xf borderId="8" fillId="5" fontId="12" numFmtId="164" xfId="0" applyAlignment="1" applyBorder="1" applyFill="1" applyFont="1" applyNumberFormat="1">
      <alignment horizontal="center" shrinkToFit="0" vertical="center" wrapText="0"/>
    </xf>
    <xf borderId="9" fillId="3" fontId="1" numFmtId="0" xfId="0" applyBorder="1" applyFont="1"/>
    <xf borderId="1" fillId="3" fontId="1" numFmtId="0" xfId="0" applyBorder="1" applyFont="1"/>
    <xf borderId="8" fillId="0" fontId="10" numFmtId="164" xfId="0" applyAlignment="1" applyBorder="1" applyFont="1" applyNumberFormat="1">
      <alignment horizontal="center" shrinkToFit="0" vertical="center" wrapText="1"/>
    </xf>
    <xf borderId="8" fillId="0" fontId="10" numFmtId="2" xfId="0" applyAlignment="1" applyBorder="1" applyFont="1" applyNumberFormat="1">
      <alignment horizontal="center" shrinkToFit="0" vertical="center" wrapText="0"/>
    </xf>
    <xf borderId="8" fillId="0" fontId="10" numFmtId="164" xfId="0" applyAlignment="1" applyBorder="1" applyFont="1" applyNumberFormat="1">
      <alignment horizontal="center" readingOrder="0" shrinkToFit="0" vertical="center" wrapText="0"/>
    </xf>
    <xf borderId="8" fillId="0" fontId="10" numFmtId="164" xfId="0" applyAlignment="1" applyBorder="1" applyFont="1" applyNumberFormat="1">
      <alignment horizontal="center" shrinkToFit="0" vertical="center" wrapText="0"/>
    </xf>
    <xf borderId="0" fillId="0" fontId="13" numFmtId="0" xfId="0" applyFont="1"/>
    <xf borderId="8" fillId="3" fontId="10" numFmtId="164" xfId="0" applyAlignment="1" applyBorder="1" applyFont="1" applyNumberFormat="1">
      <alignment horizontal="center" shrinkToFit="0" vertical="center" wrapText="0"/>
    </xf>
    <xf borderId="8" fillId="3" fontId="10" numFmtId="2" xfId="0" applyAlignment="1" applyBorder="1" applyFont="1" applyNumberFormat="1">
      <alignment horizontal="center" shrinkToFit="0" vertical="center" wrapText="0"/>
    </xf>
    <xf borderId="8" fillId="5" fontId="11" numFmtId="0" xfId="0" applyAlignment="1" applyBorder="1" applyFont="1">
      <alignment horizontal="center" shrinkToFit="0" vertical="center" wrapText="0"/>
    </xf>
    <xf borderId="8" fillId="5" fontId="11" numFmtId="164" xfId="0" applyAlignment="1" applyBorder="1" applyFont="1" applyNumberFormat="1">
      <alignment horizontal="center" shrinkToFit="0" vertical="center" wrapText="0"/>
    </xf>
    <xf borderId="8" fillId="0" fontId="12" numFmtId="0" xfId="0" applyAlignment="1" applyBorder="1" applyFont="1">
      <alignment horizontal="center" shrinkToFit="0" vertical="center" wrapText="0"/>
    </xf>
    <xf borderId="8" fillId="0" fontId="12" numFmtId="164" xfId="0" applyAlignment="1" applyBorder="1" applyFont="1" applyNumberFormat="1">
      <alignment horizontal="center" shrinkToFit="0" vertical="center" wrapText="0"/>
    </xf>
    <xf borderId="10" fillId="3" fontId="4" numFmtId="0" xfId="0" applyBorder="1" applyFont="1"/>
    <xf borderId="11" fillId="2" fontId="7" numFmtId="0" xfId="0" applyAlignment="1" applyBorder="1" applyFont="1">
      <alignment horizontal="center" shrinkToFit="0" vertical="center" wrapText="1"/>
    </xf>
    <xf borderId="12" fillId="0" fontId="8" numFmtId="0" xfId="0" applyBorder="1" applyFont="1"/>
    <xf borderId="13" fillId="0" fontId="9" numFmtId="0" xfId="0" applyAlignment="1" applyBorder="1" applyFont="1">
      <alignment horizontal="left" shrinkToFit="0" vertical="center" wrapText="1"/>
    </xf>
    <xf borderId="14" fillId="4" fontId="9" numFmtId="0" xfId="0" applyAlignment="1" applyBorder="1" applyFont="1">
      <alignment horizontal="center" shrinkToFit="0" vertical="center" wrapText="1"/>
    </xf>
    <xf borderId="15" fillId="0" fontId="8" numFmtId="0" xfId="0" applyBorder="1" applyFont="1"/>
    <xf borderId="8" fillId="0" fontId="14" numFmtId="0" xfId="0" applyAlignment="1" applyBorder="1" applyFont="1">
      <alignment horizontal="center" vertical="center"/>
    </xf>
    <xf borderId="16" fillId="0" fontId="10" numFmtId="0" xfId="0" applyAlignment="1" applyBorder="1" applyFont="1">
      <alignment horizontal="center" vertical="center"/>
    </xf>
    <xf borderId="17" fillId="0" fontId="10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 vertical="center"/>
    </xf>
    <xf borderId="18" fillId="0" fontId="10" numFmtId="0" xfId="0" applyAlignment="1" applyBorder="1" applyFont="1">
      <alignment horizontal="center" vertical="center"/>
    </xf>
    <xf borderId="19" fillId="0" fontId="10" numFmtId="164" xfId="0" applyAlignment="1" applyBorder="1" applyFont="1" applyNumberFormat="1">
      <alignment horizontal="center" vertical="center"/>
    </xf>
    <xf borderId="0" fillId="0" fontId="15" numFmtId="0" xfId="0" applyFont="1"/>
    <xf borderId="18" fillId="0" fontId="10" numFmtId="164" xfId="0" applyAlignment="1" applyBorder="1" applyFont="1" applyNumberFormat="1">
      <alignment horizontal="center" vertical="center"/>
    </xf>
    <xf borderId="20" fillId="0" fontId="10" numFmtId="0" xfId="0" applyAlignment="1" applyBorder="1" applyFont="1">
      <alignment horizontal="center" vertical="center"/>
    </xf>
    <xf borderId="21" fillId="4" fontId="9" numFmtId="0" xfId="0" applyAlignment="1" applyBorder="1" applyFont="1">
      <alignment horizontal="center" shrinkToFit="0" vertical="center" wrapText="1"/>
    </xf>
    <xf borderId="22" fillId="0" fontId="8" numFmtId="0" xfId="0" applyBorder="1" applyFont="1"/>
    <xf borderId="23" fillId="0" fontId="10" numFmtId="164" xfId="0" applyAlignment="1" applyBorder="1" applyFont="1" applyNumberFormat="1">
      <alignment horizontal="center" vertical="center"/>
    </xf>
    <xf borderId="24" fillId="0" fontId="10" numFmtId="164" xfId="0" applyAlignment="1" applyBorder="1" applyFont="1" applyNumberFormat="1">
      <alignment horizontal="center" vertical="center"/>
    </xf>
    <xf borderId="25" fillId="0" fontId="8" numFmtId="0" xfId="0" applyBorder="1" applyFont="1"/>
    <xf borderId="26" fillId="0" fontId="10" numFmtId="0" xfId="0" applyAlignment="1" applyBorder="1" applyFont="1">
      <alignment horizontal="center" vertical="center"/>
    </xf>
    <xf borderId="27" fillId="0" fontId="11" numFmtId="4" xfId="0" applyAlignment="1" applyBorder="1" applyFont="1" applyNumberFormat="1">
      <alignment horizontal="center" vertical="center"/>
    </xf>
    <xf borderId="26" fillId="0" fontId="11" numFmtId="4" xfId="0" applyAlignment="1" applyBorder="1" applyFont="1" applyNumberFormat="1">
      <alignment horizontal="center" vertical="center"/>
    </xf>
    <xf borderId="28" fillId="0" fontId="8" numFmtId="0" xfId="0" applyBorder="1" applyFont="1"/>
    <xf borderId="29" fillId="0" fontId="8" numFmtId="0" xfId="0" applyBorder="1" applyFont="1"/>
    <xf borderId="8" fillId="0" fontId="16" numFmtId="0" xfId="0" applyAlignment="1" applyBorder="1" applyFont="1">
      <alignment shrinkToFit="0" wrapText="1"/>
    </xf>
    <xf borderId="30" fillId="0" fontId="10" numFmtId="0" xfId="0" applyAlignment="1" applyBorder="1" applyFont="1">
      <alignment horizontal="center" vertical="center"/>
    </xf>
    <xf borderId="31" fillId="0" fontId="10" numFmtId="0" xfId="0" applyAlignment="1" applyBorder="1" applyFont="1">
      <alignment horizontal="center" vertical="center"/>
    </xf>
    <xf borderId="0" fillId="0" fontId="17" numFmtId="165" xfId="0" applyAlignment="1" applyFont="1" applyNumberFormat="1">
      <alignment shrinkToFit="0" vertical="center" wrapText="1"/>
    </xf>
    <xf borderId="32" fillId="0" fontId="17" numFmtId="165" xfId="0" applyAlignment="1" applyBorder="1" applyFont="1" applyNumberFormat="1">
      <alignment shrinkToFit="0" vertical="center" wrapText="1"/>
    </xf>
    <xf borderId="33" fillId="0" fontId="18" numFmtId="165" xfId="0" applyAlignment="1" applyBorder="1" applyFont="1" applyNumberFormat="1">
      <alignment shrinkToFit="0" vertical="center" wrapText="1"/>
    </xf>
    <xf borderId="34" fillId="0" fontId="17" numFmtId="165" xfId="0" applyAlignment="1" applyBorder="1" applyFont="1" applyNumberFormat="1">
      <alignment shrinkToFit="0" vertical="center" wrapText="1"/>
    </xf>
    <xf borderId="35" fillId="0" fontId="18" numFmtId="165" xfId="0" applyAlignment="1" applyBorder="1" applyFont="1" applyNumberFormat="1">
      <alignment shrinkToFit="0" vertical="center" wrapText="1"/>
    </xf>
    <xf borderId="36" fillId="2" fontId="7" numFmtId="0" xfId="0" applyAlignment="1" applyBorder="1" applyFont="1">
      <alignment horizontal="center" shrinkToFit="0" vertical="center" wrapText="1"/>
    </xf>
    <xf borderId="37" fillId="0" fontId="8" numFmtId="0" xfId="0" applyBorder="1" applyFont="1"/>
    <xf borderId="38" fillId="0" fontId="8" numFmtId="0" xfId="0" applyBorder="1" applyFont="1"/>
    <xf borderId="39" fillId="4" fontId="9" numFmtId="0" xfId="0" applyAlignment="1" applyBorder="1" applyFont="1">
      <alignment horizontal="center" readingOrder="0" shrinkToFit="0" vertical="center" wrapText="1"/>
    </xf>
    <xf borderId="40" fillId="2" fontId="7" numFmtId="0" xfId="0" applyAlignment="1" applyBorder="1" applyFont="1">
      <alignment horizontal="center" readingOrder="0" shrinkToFit="0" vertical="center" wrapText="1"/>
    </xf>
    <xf borderId="41" fillId="2" fontId="7" numFmtId="0" xfId="0" applyAlignment="1" applyBorder="1" applyFont="1">
      <alignment horizontal="center" readingOrder="0" shrinkToFit="0" vertical="center" wrapText="1"/>
    </xf>
    <xf borderId="42" fillId="2" fontId="7" numFmtId="0" xfId="0" applyAlignment="1" applyBorder="1" applyFont="1">
      <alignment horizontal="center" readingOrder="0" shrinkToFit="0" vertical="center" wrapText="1"/>
    </xf>
    <xf borderId="43" fillId="0" fontId="10" numFmtId="164" xfId="0" applyAlignment="1" applyBorder="1" applyFont="1" applyNumberFormat="1">
      <alignment horizontal="center" shrinkToFit="0" vertical="center" wrapText="1"/>
    </xf>
    <xf borderId="43" fillId="0" fontId="10" numFmtId="2" xfId="0" applyAlignment="1" applyBorder="1" applyFont="1" applyNumberFormat="1">
      <alignment horizontal="center" shrinkToFit="0" vertical="center" wrapText="0"/>
    </xf>
    <xf borderId="43" fillId="0" fontId="10" numFmtId="164" xfId="0" applyAlignment="1" applyBorder="1" applyFont="1" applyNumberFormat="1">
      <alignment horizontal="center" readingOrder="0" shrinkToFit="0" vertical="center" wrapText="0"/>
    </xf>
    <xf borderId="43" fillId="0" fontId="10" numFmtId="164" xfId="0" applyAlignment="1" applyBorder="1" applyFont="1" applyNumberFormat="1">
      <alignment horizontal="center" shrinkToFit="0" vertical="center" wrapText="0"/>
    </xf>
    <xf borderId="40" fillId="5" fontId="12" numFmtId="164" xfId="0" applyAlignment="1" applyBorder="1" applyFont="1" applyNumberFormat="1">
      <alignment horizontal="center" shrinkToFit="0" vertical="center" wrapText="0"/>
    </xf>
    <xf borderId="41" fillId="5" fontId="12" numFmtId="164" xfId="0" applyAlignment="1" applyBorder="1" applyFont="1" applyNumberFormat="1">
      <alignment horizontal="center" shrinkToFit="0" vertical="center" wrapText="0"/>
    </xf>
    <xf borderId="42" fillId="5" fontId="12" numFmtId="164" xfId="0" applyAlignment="1" applyBorder="1" applyFont="1" applyNumberFormat="1">
      <alignment horizontal="center" shrinkToFit="0" vertical="center" wrapText="0"/>
    </xf>
    <xf borderId="44" fillId="5" fontId="12" numFmtId="164" xfId="0" applyAlignment="1" applyBorder="1" applyFont="1" applyNumberFormat="1">
      <alignment horizontal="center" shrinkToFit="0" vertical="center" wrapText="0"/>
    </xf>
    <xf borderId="45" fillId="5" fontId="12" numFmtId="164" xfId="0" applyAlignment="1" applyBorder="1" applyFont="1" applyNumberFormat="1">
      <alignment horizontal="center" shrinkToFit="0" vertical="center" wrapText="0"/>
    </xf>
    <xf borderId="46" fillId="0" fontId="10" numFmtId="164" xfId="0" applyAlignment="1" applyBorder="1" applyFont="1" applyNumberFormat="1">
      <alignment horizontal="center" shrinkToFit="0" vertical="center" wrapText="1"/>
    </xf>
    <xf borderId="46" fillId="0" fontId="10" numFmtId="2" xfId="0" applyAlignment="1" applyBorder="1" applyFont="1" applyNumberFormat="1">
      <alignment horizontal="center" shrinkToFit="0" vertical="center" wrapText="0"/>
    </xf>
    <xf borderId="46" fillId="0" fontId="10" numFmtId="164" xfId="0" applyAlignment="1" applyBorder="1" applyFont="1" applyNumberFormat="1">
      <alignment horizontal="center" readingOrder="0" shrinkToFit="0" vertical="center" wrapText="0"/>
    </xf>
    <xf borderId="46" fillId="0" fontId="10" numFmtId="164" xfId="0" applyAlignment="1" applyBorder="1" applyFont="1" applyNumberFormat="1">
      <alignment horizontal="center" shrinkToFit="0" vertical="center" wrapText="0"/>
    </xf>
    <xf borderId="47" fillId="3" fontId="10" numFmtId="164" xfId="0" applyAlignment="1" applyBorder="1" applyFont="1" applyNumberFormat="1">
      <alignment horizontal="center" shrinkToFit="0" vertical="center" wrapText="1"/>
    </xf>
    <xf borderId="47" fillId="3" fontId="10" numFmtId="2" xfId="0" applyAlignment="1" applyBorder="1" applyFont="1" applyNumberFormat="1">
      <alignment horizontal="center" shrinkToFit="0" vertical="center" wrapText="0"/>
    </xf>
    <xf borderId="1" fillId="3" fontId="10" numFmtId="164" xfId="0" applyAlignment="1" applyBorder="1" applyFont="1" applyNumberFormat="1">
      <alignment horizontal="center" shrinkToFit="0" vertical="center" wrapText="0"/>
    </xf>
    <xf borderId="47" fillId="3" fontId="10" numFmtId="164" xfId="0" applyAlignment="1" applyBorder="1" applyFont="1" applyNumberFormat="1">
      <alignment horizontal="center" shrinkToFit="0" vertical="center" wrapText="0"/>
    </xf>
    <xf borderId="48" fillId="5" fontId="12" numFmtId="164" xfId="0" applyAlignment="1" applyBorder="1" applyFont="1" applyNumberFormat="1">
      <alignment horizontal="center" shrinkToFit="0" vertical="center" wrapText="0"/>
    </xf>
    <xf borderId="1" fillId="5" fontId="11" numFmtId="0" xfId="0" applyAlignment="1" applyBorder="1" applyFont="1">
      <alignment horizontal="center" shrinkToFit="0" vertical="center" wrapText="0"/>
    </xf>
    <xf borderId="47" fillId="5" fontId="11" numFmtId="164" xfId="0" applyAlignment="1" applyBorder="1" applyFont="1" applyNumberFormat="1">
      <alignment horizontal="center" shrinkToFit="0" vertical="center" wrapText="0"/>
    </xf>
    <xf borderId="0" fillId="0" fontId="12" numFmtId="0" xfId="0" applyAlignment="1" applyFont="1">
      <alignment horizontal="center" shrinkToFit="0" vertical="center" wrapText="0"/>
    </xf>
    <xf borderId="0" fillId="0" fontId="12" numFmtId="164" xfId="0" applyAlignment="1" applyFont="1" applyNumberFormat="1">
      <alignment horizontal="center" shrinkToFit="0" vertical="center" wrapText="0"/>
    </xf>
    <xf borderId="49" fillId="0" fontId="10" numFmtId="0" xfId="0" applyAlignment="1" applyBorder="1" applyFont="1">
      <alignment horizontal="center" vertical="center"/>
    </xf>
    <xf borderId="49" fillId="0" fontId="10" numFmtId="164" xfId="0" applyAlignment="1" applyBorder="1" applyFont="1" applyNumberFormat="1">
      <alignment horizontal="center" vertical="center"/>
    </xf>
    <xf borderId="50" fillId="0" fontId="10" numFmtId="0" xfId="0" applyAlignment="1" applyBorder="1" applyFont="1">
      <alignment horizontal="center" vertical="center"/>
    </xf>
    <xf borderId="50" fillId="0" fontId="11" numFmtId="4" xfId="0" applyAlignment="1" applyBorder="1" applyFont="1" applyNumberFormat="1">
      <alignment horizontal="center" vertical="center"/>
    </xf>
    <xf borderId="51" fillId="0" fontId="10" numFmtId="0" xfId="0" applyAlignment="1" applyBorder="1" applyFont="1">
      <alignment horizontal="center" vertical="center"/>
    </xf>
    <xf borderId="46" fillId="0" fontId="10" numFmtId="164" xfId="0" applyAlignment="1" applyBorder="1" applyFont="1" applyNumberFormat="1">
      <alignment horizontal="center" vertical="center"/>
    </xf>
    <xf borderId="46" fillId="0" fontId="10" numFmtId="2" xfId="0" applyAlignment="1" applyBorder="1" applyFont="1" applyNumberFormat="1">
      <alignment horizontal="center" vertical="center"/>
    </xf>
    <xf borderId="0" fillId="0" fontId="17" numFmtId="0" xfId="0" applyFont="1"/>
    <xf borderId="52" fillId="6" fontId="18" numFmtId="165" xfId="0" applyAlignment="1" applyBorder="1" applyFill="1" applyFont="1" applyNumberFormat="1">
      <alignment shrinkToFit="0" vertical="center" wrapText="1"/>
    </xf>
    <xf borderId="53" fillId="6" fontId="18" numFmtId="165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>
        <left style="thin">
          <color rgb="FFFFFF66"/>
        </left>
        <right style="thin">
          <color rgb="FFFFFF66"/>
        </right>
        <top style="thin">
          <color rgb="FFFFFF66"/>
        </top>
      </border>
    </dxf>
    <dxf>
      <font/>
      <fill>
        <patternFill patternType="none"/>
      </fill>
      <border>
        <left style="thin">
          <color rgb="FFFFFF66"/>
        </left>
        <right style="thin">
          <color rgb="FFFFFF66"/>
        </right>
      </border>
    </dxf>
    <dxf>
      <font/>
      <fill>
        <patternFill patternType="none"/>
      </fill>
      <border/>
    </dxf>
    <dxf>
      <font/>
      <fill>
        <patternFill patternType="solid">
          <fgColor rgb="FFF8F3FF"/>
          <bgColor rgb="FFF8F3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border>
        <left style="thin">
          <color rgb="FFF8F3FF"/>
        </left>
        <right style="thin">
          <color rgb="FFF8F3FF"/>
        </right>
        <top style="thin">
          <color rgb="FFF8F3FF"/>
        </top>
        <bottom style="thin">
          <color rgb="FFF8F3FF"/>
        </bottom>
      </border>
    </dxf>
  </dxfs>
  <tableStyles count="2">
    <tableStyle count="5" pivot="0" name="Precios -style">
      <tableStyleElement dxfId="3" type="headerRow"/>
      <tableStyleElement dxfId="4" type="firstRowStripe"/>
      <tableStyleElement dxfId="4" type="secondRowStripe"/>
      <tableStyleElement dxfId="5" type="totalRow"/>
      <tableStyleElement dxfId="6" size="0" type="wholeTable"/>
    </tableStyle>
    <tableStyle count="5" pivot="0" name="Precios  (2)-style">
      <tableStyleElement dxfId="3" type="headerRow"/>
      <tableStyleElement dxfId="4" type="firstRowStripe"/>
      <tableStyleElement dxfId="4" type="secondRowStripe"/>
      <tableStyleElement dxfId="5" type="totalRow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4</xdr:row>
      <xdr:rowOff>133350</xdr:rowOff>
    </xdr:from>
    <xdr:ext cx="8020050" cy="6134100"/>
    <xdr:sp>
      <xdr:nvSpPr>
        <xdr:cNvPr id="3" name="Shape 3"/>
        <xdr:cNvSpPr txBox="1"/>
      </xdr:nvSpPr>
      <xdr:spPr>
        <a:xfrm>
          <a:off x="1340738" y="717713"/>
          <a:ext cx="8010525" cy="61245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En la plantilla de excel de comparación de precios entre proveedores le permitirá saber que proveedor le da el mejor precio para cada producto que quiera comprar.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 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 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Para usarla, sigue estos pasos: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1. 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Complete el nombre de los proveedores en la fila 8.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2. 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Complete los productos a comparar en la columna B, la cantidad de cada uno de ellos en la columna C  y los precios a partir de la celda D9.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3. 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Opcional: Se pueden agregar datos adicionales que hacen a la decisión del proveedor: 	 	Cantidad de días de entrega</a:t>
          </a:r>
          <a:b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		Costo de envío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		Formas de pago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b="0" i="1" sz="1600" u="sng" strike="noStrike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b="0" i="1" sz="1600" u="sng" strike="noStrike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Resultados</a:t>
          </a:r>
          <a:endParaRPr b="0" i="0" sz="11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Se obtiene el precio más bajo, el promedio y el más alto en las columnas J, K y L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Se marcará en amarillo el proveedor que ofrece el precio más bajo total.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Aclaración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En el caso de que haya más de un proveedor con el precio más bajo se marcará en amarillo también.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66675</xdr:colOff>
      <xdr:row>0</xdr:row>
      <xdr:rowOff>95250</xdr:rowOff>
    </xdr:from>
    <xdr:ext cx="6619875" cy="762000"/>
    <xdr:sp>
      <xdr:nvSpPr>
        <xdr:cNvPr id="4" name="Shape 4"/>
        <xdr:cNvSpPr txBox="1"/>
      </xdr:nvSpPr>
      <xdr:spPr>
        <a:xfrm>
          <a:off x="2040825" y="3403763"/>
          <a:ext cx="6610350" cy="7524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2400"/>
            <a:buFont typeface="Calibri"/>
            <a:buNone/>
          </a:pP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Comparación de precios entre proveedores</a:t>
          </a:r>
          <a:endParaRPr sz="1400"/>
        </a:p>
      </xdr:txBody>
    </xdr:sp>
    <xdr:clientData fLocksWithSheet="0"/>
  </xdr:oneCellAnchor>
  <xdr:oneCellAnchor>
    <xdr:from>
      <xdr:col>9</xdr:col>
      <xdr:colOff>409575</xdr:colOff>
      <xdr:row>0</xdr:row>
      <xdr:rowOff>95250</xdr:rowOff>
    </xdr:from>
    <xdr:ext cx="2009775" cy="762000"/>
    <xdr:sp>
      <xdr:nvSpPr>
        <xdr:cNvPr id="5" name="Shape 5"/>
        <xdr:cNvSpPr txBox="1"/>
      </xdr:nvSpPr>
      <xdr:spPr>
        <a:xfrm>
          <a:off x="4345875" y="3403763"/>
          <a:ext cx="2000250" cy="7524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Clr>
              <a:srgbClr val="DCF8F0"/>
            </a:buClr>
            <a:buSzPts val="1400"/>
            <a:buFont typeface="Arial Rounded"/>
            <a:buNone/>
          </a:pPr>
          <a:r>
            <a:rPr b="1" lang="en-US" sz="1400">
              <a:solidFill>
                <a:srgbClr val="DCF8F0"/>
              </a:solidFill>
              <a:latin typeface="Arial Rounded"/>
              <a:ea typeface="Arial Rounded"/>
              <a:cs typeface="Arial Rounded"/>
              <a:sym typeface="Arial Rounded"/>
            </a:rPr>
            <a:t>Larause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7686675" cy="752475"/>
    <xdr:sp>
      <xdr:nvSpPr>
        <xdr:cNvPr id="6" name="Shape 6"/>
        <xdr:cNvSpPr txBox="1"/>
      </xdr:nvSpPr>
      <xdr:spPr>
        <a:xfrm>
          <a:off x="1507425" y="3408525"/>
          <a:ext cx="7677150" cy="7429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2400"/>
            <a:buFont typeface="Calibri"/>
            <a:buNone/>
          </a:pP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Comparación de precios entre proveedores</a:t>
          </a:r>
          <a:endParaRPr b="1" sz="2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8</xdr:col>
      <xdr:colOff>1095375</xdr:colOff>
      <xdr:row>1</xdr:row>
      <xdr:rowOff>133350</xdr:rowOff>
    </xdr:from>
    <xdr:ext cx="3019425" cy="476250"/>
    <xdr:sp>
      <xdr:nvSpPr>
        <xdr:cNvPr id="7" name="Shape 7"/>
        <xdr:cNvSpPr txBox="1"/>
      </xdr:nvSpPr>
      <xdr:spPr>
        <a:xfrm>
          <a:off x="3841050" y="3546638"/>
          <a:ext cx="3009900" cy="4667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Clr>
              <a:srgbClr val="F8F3FF"/>
            </a:buClr>
            <a:buSzPts val="1400"/>
            <a:buFont typeface="Arial Rounded"/>
            <a:buNone/>
          </a:pPr>
          <a:r>
            <a:rPr b="1" lang="en-US" sz="1400">
              <a:solidFill>
                <a:srgbClr val="F8F3FF"/>
              </a:solidFill>
              <a:latin typeface="Arial Rounded"/>
              <a:ea typeface="Arial Rounded"/>
              <a:cs typeface="Arial Rounded"/>
              <a:sym typeface="Arial Rounded"/>
            </a:rPr>
            <a:t>Larause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7696200" cy="752475"/>
    <xdr:sp>
      <xdr:nvSpPr>
        <xdr:cNvPr id="8" name="Shape 8"/>
        <xdr:cNvSpPr txBox="1"/>
      </xdr:nvSpPr>
      <xdr:spPr>
        <a:xfrm>
          <a:off x="1502663" y="3408525"/>
          <a:ext cx="7686675" cy="7429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2400"/>
            <a:buFont typeface="Calibri"/>
            <a:buNone/>
          </a:pP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Comparación de precios entre proveedores</a:t>
          </a:r>
          <a:endParaRPr b="1" sz="2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8</xdr:col>
      <xdr:colOff>1200150</xdr:colOff>
      <xdr:row>1</xdr:row>
      <xdr:rowOff>133350</xdr:rowOff>
    </xdr:from>
    <xdr:ext cx="3019425" cy="476250"/>
    <xdr:sp>
      <xdr:nvSpPr>
        <xdr:cNvPr id="9" name="Shape 9"/>
        <xdr:cNvSpPr txBox="1"/>
      </xdr:nvSpPr>
      <xdr:spPr>
        <a:xfrm>
          <a:off x="3841050" y="3546638"/>
          <a:ext cx="3009900" cy="4667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Clr>
              <a:srgbClr val="F8F3FF"/>
            </a:buClr>
            <a:buSzPts val="1400"/>
            <a:buFont typeface="Arial Rounded"/>
            <a:buNone/>
          </a:pPr>
          <a:r>
            <a:rPr b="1" lang="en-US" sz="1400">
              <a:solidFill>
                <a:srgbClr val="F8F3FF"/>
              </a:solidFill>
              <a:latin typeface="Arial Rounded"/>
              <a:ea typeface="Arial Rounded"/>
              <a:cs typeface="Arial Rounded"/>
              <a:sym typeface="Arial Rounded"/>
            </a:rPr>
            <a:t>Larause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Cuadro-de-Cotizacione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rre admin"/>
      <sheetName val="Monitor Admin"/>
      <sheetName val="DiscoSolido Admin"/>
      <sheetName val="Disco duro interno Admin"/>
      <sheetName val="Servidor Admin"/>
      <sheetName val="ram Admin"/>
      <sheetName val="Mouse Admin"/>
      <sheetName val="Teclado Admin"/>
      <sheetName val="Portatil Nosotros"/>
      <sheetName val="Monitor Nosotros"/>
      <sheetName val=" Disco mecanico Nosotros"/>
      <sheetName val=" ram nosotros"/>
      <sheetName val="Servidor Nosotros"/>
      <sheetName val="Tarjeta de video nosotros"/>
      <sheetName val="Procesador Nosotros"/>
      <sheetName val="Teclado nosostros "/>
      <sheetName val="Mouse nosotros"/>
      <sheetName val="software licencia"/>
      <sheetName val="licencia visual"/>
      <sheetName val="windows 11 licencia"/>
      <sheetName val="licencia SQL"/>
      <sheetName val="Mause Admin"/>
      <sheetName val=" Servidor Nosotros"/>
      <sheetName val="Muse nosot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tables/table1.xml><?xml version="1.0" encoding="utf-8"?>
<table xmlns="http://schemas.openxmlformats.org/spreadsheetml/2006/main" totalsRowCount="1" ref="B8:L26" displayName="Table_1" name="Table_1" id="1">
  <tableColumns count="11">
    <tableColumn totalsRowLabel="Total" name="PRODUCTO" id="1"/>
    <tableColumn name="CANTIDAD" id="2"/>
    <tableColumn totalsRowFunction="custom" name="PROVEEDOR 1" id="3"/>
    <tableColumn totalsRowFunction="custom" name="PROVEEDOR 2" id="4"/>
    <tableColumn totalsRowFunction="custom" name="PROVEEDOR 3" id="5"/>
    <tableColumn totalsRowFunction="custom" name="PROVEEDOR 4" id="6"/>
    <tableColumn totalsRowFunction="custom" name="PROVEEDOR 5" id="7"/>
    <tableColumn totalsRowFunction="custom" name="PROVEEDOR 6" id="8"/>
    <tableColumn name="PRECIO MÁS BAJO" id="9"/>
    <tableColumn name="PRECIO PROMEDIO" id="10"/>
    <tableColumn name="PRECIO MÁS ALTO" id="11"/>
  </tableColumns>
  <tableStyleInfo name="Precios -style" showColumnStripes="0" showFirstColumn="1" showLastColumn="1" showRowStripes="1"/>
</table>
</file>

<file path=xl/tables/table2.xml><?xml version="1.0" encoding="utf-8"?>
<table xmlns="http://schemas.openxmlformats.org/spreadsheetml/2006/main" totalsRowCount="1" ref="B8:L25" displayName="Table_2" name="Table_2" id="2">
  <tableColumns count="11">
    <tableColumn totalsRowLabel="Total" name="PRODUCTO" id="1"/>
    <tableColumn name="CANTIDAD" id="2"/>
    <tableColumn totalsRowFunction="custom" name="PROVEEDOR 1" id="3"/>
    <tableColumn totalsRowFunction="custom" name="PROVEEDOR 2" id="4"/>
    <tableColumn totalsRowFunction="custom" name="PROVEEDOR 3" id="5"/>
    <tableColumn totalsRowFunction="custom" name="PROVEEDOR 4" id="6"/>
    <tableColumn totalsRowFunction="custom" name="PROVEEDOR 5" id="7"/>
    <tableColumn totalsRowFunction="custom" name="PROVEEDOR 6" id="8"/>
    <tableColumn name="PRECIO MÁS BAJO" id="9"/>
    <tableColumn name="PRECIO PROMEDIO" id="10"/>
    <tableColumn name="PRECIO MÁS ALTO" id="11"/>
  </tableColumns>
  <tableStyleInfo name="Precios  (2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.83"/>
    <col customWidth="1" min="2" max="11" width="22.0"/>
    <col customWidth="1" min="12" max="26" width="12.0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4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2.0" customHeight="1">
      <c r="A4" s="1"/>
      <c r="B4" s="3" t="s">
        <v>0</v>
      </c>
      <c r="C4" s="4"/>
      <c r="D4" s="4"/>
      <c r="E4" s="4"/>
      <c r="F4" s="4"/>
      <c r="G4" s="4"/>
      <c r="H4" s="4"/>
      <c r="I4" s="4"/>
      <c r="J4" s="4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.0"/>
    <col customWidth="1" min="2" max="2" width="23.5"/>
    <col customWidth="1" min="3" max="3" width="31.5"/>
    <col customWidth="1" min="4" max="4" width="27.5"/>
    <col customWidth="1" min="5" max="5" width="23.33"/>
    <col customWidth="1" min="6" max="6" width="25.17"/>
    <col customWidth="1" min="7" max="7" width="32.5"/>
    <col customWidth="1" min="8" max="9" width="22.17"/>
    <col customWidth="1" min="10" max="10" width="27.33"/>
    <col customWidth="1" min="11" max="11" width="23.5"/>
    <col customWidth="1" min="12" max="12" width="24.83"/>
    <col customWidth="1" min="13" max="13" width="20.5"/>
    <col customWidth="1" min="14" max="14" width="20.67"/>
    <col customWidth="1" min="15" max="26" width="9.33"/>
  </cols>
  <sheetData>
    <row r="1" ht="15.0" customHeight="1">
      <c r="A1" s="5"/>
      <c r="B1" s="5"/>
      <c r="C1" s="5"/>
      <c r="D1" s="5"/>
      <c r="E1" s="5"/>
      <c r="F1" s="5"/>
      <c r="G1" s="5"/>
      <c r="H1" s="5"/>
      <c r="I1" s="5"/>
      <c r="J1" s="5"/>
      <c r="K1" s="6"/>
      <c r="L1" s="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4.75" customHeight="1">
      <c r="A2" s="5"/>
      <c r="B2" s="2"/>
      <c r="C2" s="2"/>
      <c r="D2" s="2"/>
      <c r="E2" s="2"/>
      <c r="F2" s="2"/>
      <c r="G2" s="2"/>
      <c r="H2" s="2"/>
      <c r="I2" s="7"/>
      <c r="J2" s="7"/>
      <c r="K2" s="7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8.5" customHeight="1">
      <c r="A5" s="5"/>
      <c r="B5" s="3" t="s">
        <v>1</v>
      </c>
      <c r="C5" s="3"/>
      <c r="D5" s="5"/>
      <c r="E5" s="5"/>
      <c r="F5" s="5"/>
      <c r="G5" s="5"/>
      <c r="H5" s="5"/>
      <c r="I5" s="5"/>
      <c r="J5" s="5"/>
      <c r="K5" s="6"/>
      <c r="L5" s="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1.5" customHeight="1">
      <c r="A6" s="5"/>
      <c r="B6" s="8" t="s">
        <v>2</v>
      </c>
      <c r="C6" s="8"/>
      <c r="D6" s="3"/>
      <c r="E6" s="3"/>
      <c r="F6" s="3"/>
      <c r="G6" s="3"/>
      <c r="H6" s="3"/>
      <c r="I6" s="3"/>
      <c r="J6" s="9"/>
      <c r="K6" s="9"/>
      <c r="L6" s="9"/>
      <c r="M6" s="9"/>
      <c r="N6" s="9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75" customHeight="1">
      <c r="A7" s="5"/>
      <c r="B7" s="10"/>
      <c r="C7" s="10"/>
      <c r="D7" s="10"/>
      <c r="E7" s="10"/>
      <c r="F7" s="10"/>
      <c r="G7" s="10"/>
      <c r="H7" s="10"/>
      <c r="I7" s="10"/>
      <c r="J7" s="11" t="s">
        <v>3</v>
      </c>
      <c r="K7" s="12"/>
      <c r="L7" s="1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6.5" customHeight="1">
      <c r="A8" s="14"/>
      <c r="B8" s="15" t="s">
        <v>4</v>
      </c>
      <c r="C8" s="15" t="s">
        <v>5</v>
      </c>
      <c r="D8" s="15" t="s">
        <v>6</v>
      </c>
      <c r="E8" s="15" t="s">
        <v>7</v>
      </c>
      <c r="F8" s="15" t="s">
        <v>8</v>
      </c>
      <c r="G8" s="15" t="s">
        <v>9</v>
      </c>
      <c r="H8" s="15" t="s">
        <v>10</v>
      </c>
      <c r="I8" s="15" t="s">
        <v>11</v>
      </c>
      <c r="J8" s="16" t="s">
        <v>12</v>
      </c>
      <c r="K8" s="16" t="s">
        <v>13</v>
      </c>
      <c r="L8" s="16" t="s">
        <v>14</v>
      </c>
      <c r="M8" s="17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55.5" customHeight="1">
      <c r="A9" s="19"/>
      <c r="B9" s="20" t="s">
        <v>15</v>
      </c>
      <c r="C9" s="21">
        <v>1.0</v>
      </c>
      <c r="D9" s="22">
        <v>827050.0</v>
      </c>
      <c r="E9" s="23">
        <v>1011500.0</v>
      </c>
      <c r="F9" s="23">
        <v>1368500.0</v>
      </c>
      <c r="G9" s="24"/>
      <c r="H9" s="24"/>
      <c r="I9" s="25"/>
      <c r="J9" s="26">
        <f>MIN('Precios '!$D9:$I9)</f>
        <v>827050</v>
      </c>
      <c r="K9" s="26">
        <f>IFERROR(AVERAGE('Precios '!$D9:$I9),0)</f>
        <v>1069016.667</v>
      </c>
      <c r="L9" s="26">
        <f>MAX('Precios '!$D9:$I9)</f>
        <v>1368500</v>
      </c>
      <c r="M9" s="27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56.25" customHeight="1">
      <c r="A10" s="19"/>
      <c r="B10" s="29" t="s">
        <v>16</v>
      </c>
      <c r="C10" s="30">
        <v>1.0</v>
      </c>
      <c r="D10" s="31">
        <v>135907.0</v>
      </c>
      <c r="E10" s="31">
        <v>132810.0</v>
      </c>
      <c r="F10" s="31">
        <v>227981.0</v>
      </c>
      <c r="G10" s="32"/>
      <c r="H10" s="32"/>
      <c r="I10" s="32"/>
      <c r="J10" s="26">
        <f>MIN('Precios '!$D10:$I10)</f>
        <v>132810</v>
      </c>
      <c r="K10" s="26">
        <f>IFERROR(AVERAGE('Precios '!$D10:$I10),0)</f>
        <v>165566</v>
      </c>
      <c r="L10" s="26">
        <f>MAX('Precios '!$D10:$I10)</f>
        <v>227981</v>
      </c>
      <c r="M10" s="27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52.5" customHeight="1">
      <c r="A11" s="19"/>
      <c r="B11" s="29" t="s">
        <v>17</v>
      </c>
      <c r="C11" s="30">
        <v>1.0</v>
      </c>
      <c r="D11" s="31">
        <v>214081.0</v>
      </c>
      <c r="E11" s="31">
        <v>392581.0</v>
      </c>
      <c r="F11" s="31">
        <v>296310.0</v>
      </c>
      <c r="G11" s="32"/>
      <c r="H11" s="32"/>
      <c r="I11" s="32"/>
      <c r="J11" s="26">
        <f>MIN('Precios '!$D11:$I11)</f>
        <v>214081</v>
      </c>
      <c r="K11" s="26">
        <f>IFERROR(AVERAGE('Precios '!$D11:$I11),0)</f>
        <v>300990.6667</v>
      </c>
      <c r="L11" s="26">
        <f>MAX('Precios '!$D11:$I11)</f>
        <v>392581</v>
      </c>
      <c r="M11" s="27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47.25" customHeight="1">
      <c r="A12" s="19"/>
      <c r="B12" s="29" t="s">
        <v>18</v>
      </c>
      <c r="C12" s="30">
        <v>1.0</v>
      </c>
      <c r="D12" s="31">
        <v>225981.0</v>
      </c>
      <c r="E12" s="31">
        <v>238000.0</v>
      </c>
      <c r="F12" s="31">
        <v>398650.0</v>
      </c>
      <c r="G12" s="32"/>
      <c r="H12" s="32"/>
      <c r="I12" s="32"/>
      <c r="J12" s="26">
        <f>MIN('Precios '!$D12:$I12)</f>
        <v>225981</v>
      </c>
      <c r="K12" s="26">
        <f>IFERROR(AVERAGE('Precios '!$D12:$I12),0)</f>
        <v>287543.6667</v>
      </c>
      <c r="L12" s="26">
        <f>MAX('Precios '!$D12:$I12)</f>
        <v>398650</v>
      </c>
      <c r="M12" s="27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48.75" customHeight="1">
      <c r="A13" s="19"/>
      <c r="B13" s="29" t="s">
        <v>19</v>
      </c>
      <c r="C13" s="30">
        <v>1.0</v>
      </c>
      <c r="D13" s="32">
        <v>5710001.0</v>
      </c>
      <c r="E13" s="32">
        <v>7000000.0</v>
      </c>
      <c r="F13" s="32">
        <v>1.0571799E7</v>
      </c>
      <c r="G13" s="32"/>
      <c r="H13" s="32"/>
      <c r="I13" s="32"/>
      <c r="J13" s="26">
        <f>MIN('Precios '!$D13:$I13)</f>
        <v>5710001</v>
      </c>
      <c r="K13" s="26">
        <f>IFERROR(AVERAGE('Precios '!$D13:$I13),0)</f>
        <v>7760600</v>
      </c>
      <c r="L13" s="26">
        <f>MAX('Precios '!$D13:$I13)</f>
        <v>10571799</v>
      </c>
      <c r="M13" s="27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44.25" customHeight="1">
      <c r="A14" s="19"/>
      <c r="B14" s="29" t="s">
        <v>20</v>
      </c>
      <c r="C14" s="30">
        <v>1.0</v>
      </c>
      <c r="D14" s="31">
        <v>213099.0</v>
      </c>
      <c r="E14" s="31">
        <v>297500.0</v>
      </c>
      <c r="F14" s="31">
        <v>289170.0</v>
      </c>
      <c r="G14" s="32"/>
      <c r="H14" s="32"/>
      <c r="I14" s="32"/>
      <c r="J14" s="26">
        <f>MIN('Precios '!$D14:$I14)</f>
        <v>213099</v>
      </c>
      <c r="K14" s="26">
        <f>IFERROR(AVERAGE('Precios '!$D14:$I14),0)</f>
        <v>266589.6667</v>
      </c>
      <c r="L14" s="26">
        <f>MAX('Precios '!$D14:$I14)</f>
        <v>297500</v>
      </c>
      <c r="M14" s="27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41.25" customHeight="1">
      <c r="A15" s="33"/>
      <c r="B15" s="29" t="s">
        <v>21</v>
      </c>
      <c r="C15" s="30">
        <v>1.0</v>
      </c>
      <c r="D15" s="32">
        <v>23900.0</v>
      </c>
      <c r="E15" s="32">
        <v>93000.0</v>
      </c>
      <c r="F15" s="32">
        <v>138674.0</v>
      </c>
      <c r="G15" s="32"/>
      <c r="H15" s="32"/>
      <c r="I15" s="32"/>
      <c r="J15" s="26">
        <f>MIN('Precios '!$D15:$I15)</f>
        <v>23900</v>
      </c>
      <c r="K15" s="26">
        <f>IFERROR(AVERAGE('Precios '!$D15:$I15),0)</f>
        <v>85191.33333</v>
      </c>
      <c r="L15" s="26">
        <f>MAX('Precios '!$D15:$I15)</f>
        <v>138674</v>
      </c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9.25" customHeight="1">
      <c r="A16" s="33"/>
      <c r="B16" s="29" t="s">
        <v>22</v>
      </c>
      <c r="C16" s="30">
        <v>1.0</v>
      </c>
      <c r="D16" s="31">
        <v>83181.0</v>
      </c>
      <c r="E16" s="31">
        <v>190281.0</v>
      </c>
      <c r="F16" s="31">
        <v>142681.0</v>
      </c>
      <c r="G16" s="32"/>
      <c r="H16" s="32"/>
      <c r="I16" s="32"/>
      <c r="J16" s="26">
        <f>MIN('Precios '!$D16:$I16)</f>
        <v>83181</v>
      </c>
      <c r="K16" s="26">
        <f>IFERROR(AVERAGE('Precios '!$D16:$I16),0)</f>
        <v>138714.3333</v>
      </c>
      <c r="L16" s="26">
        <f>MAX('Precios '!$D16:$I16)</f>
        <v>190281</v>
      </c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37.5" customHeight="1">
      <c r="A17" s="33"/>
      <c r="B17" s="29" t="s">
        <v>23</v>
      </c>
      <c r="C17" s="30">
        <v>1.0</v>
      </c>
      <c r="D17" s="31">
        <v>41531.0</v>
      </c>
      <c r="E17" s="31">
        <v>59381.0</v>
      </c>
      <c r="F17" s="31">
        <v>142681.0</v>
      </c>
      <c r="G17" s="32"/>
      <c r="H17" s="32"/>
      <c r="I17" s="32"/>
      <c r="J17" s="26">
        <f>MIN('Precios '!$D17:$I17)</f>
        <v>41531</v>
      </c>
      <c r="K17" s="26">
        <f>IFERROR(AVERAGE('Precios '!$D17:$I17),0)</f>
        <v>81197.66667</v>
      </c>
      <c r="L17" s="26">
        <f>MAX('Precios '!$D17:$I17)</f>
        <v>142681</v>
      </c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2.75" customHeight="1">
      <c r="A18" s="33"/>
      <c r="B18" s="29"/>
      <c r="C18" s="30"/>
      <c r="D18" s="32"/>
      <c r="E18" s="32"/>
      <c r="F18" s="32"/>
      <c r="G18" s="32"/>
      <c r="H18" s="32"/>
      <c r="I18" s="32"/>
      <c r="J18" s="26"/>
      <c r="K18" s="26"/>
      <c r="L18" s="26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9.25" customHeight="1">
      <c r="A19" s="33"/>
      <c r="B19" s="34"/>
      <c r="C19" s="35"/>
      <c r="D19" s="34"/>
      <c r="E19" s="34"/>
      <c r="F19" s="34"/>
      <c r="G19" s="34"/>
      <c r="H19" s="34"/>
      <c r="I19" s="34"/>
      <c r="J19" s="26"/>
      <c r="K19" s="26"/>
      <c r="L19" s="26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9.25" customHeight="1">
      <c r="A20" s="33"/>
      <c r="B20" s="34"/>
      <c r="C20" s="35"/>
      <c r="D20" s="34"/>
      <c r="E20" s="34"/>
      <c r="F20" s="34"/>
      <c r="G20" s="34"/>
      <c r="H20" s="34"/>
      <c r="I20" s="34"/>
      <c r="J20" s="26">
        <f>SUM(J9:J19)</f>
        <v>7471634</v>
      </c>
      <c r="K20" s="26">
        <f>SUM(K6:K19)</f>
        <v>10155410</v>
      </c>
      <c r="L20" s="26">
        <f>SUM(L9:L19)</f>
        <v>13728647</v>
      </c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2.75" customHeight="1">
      <c r="A21" s="33"/>
      <c r="B21" s="34"/>
      <c r="C21" s="35"/>
      <c r="D21" s="34"/>
      <c r="E21" s="34"/>
      <c r="F21" s="34"/>
      <c r="G21" s="34"/>
      <c r="H21" s="34"/>
      <c r="I21" s="34"/>
      <c r="J21" s="26"/>
      <c r="K21" s="26"/>
      <c r="L21" s="26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2.75" customHeight="1">
      <c r="A22" s="33"/>
      <c r="B22" s="34"/>
      <c r="C22" s="35"/>
      <c r="D22" s="34"/>
      <c r="E22" s="34"/>
      <c r="F22" s="34"/>
      <c r="G22" s="34"/>
      <c r="H22" s="34"/>
      <c r="I22" s="34"/>
      <c r="J22" s="26"/>
      <c r="K22" s="26"/>
      <c r="L22" s="26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2.75" customHeight="1">
      <c r="A23" s="33"/>
      <c r="B23" s="34"/>
      <c r="C23" s="35"/>
      <c r="D23" s="34"/>
      <c r="E23" s="34"/>
      <c r="F23" s="34"/>
      <c r="G23" s="34"/>
      <c r="H23" s="34"/>
      <c r="I23" s="34"/>
      <c r="J23" s="26"/>
      <c r="K23" s="26"/>
      <c r="L23" s="26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2.75" customHeight="1">
      <c r="A24" s="33"/>
      <c r="B24" s="34"/>
      <c r="C24" s="35"/>
      <c r="D24" s="34"/>
      <c r="E24" s="34"/>
      <c r="F24" s="34"/>
      <c r="G24" s="34"/>
      <c r="H24" s="34"/>
      <c r="I24" s="34"/>
      <c r="J24" s="26"/>
      <c r="K24" s="26"/>
      <c r="L24" s="26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2.75" customHeight="1">
      <c r="A25" s="33"/>
      <c r="B25" s="34"/>
      <c r="C25" s="35"/>
      <c r="D25" s="34"/>
      <c r="E25" s="34"/>
      <c r="F25" s="34"/>
      <c r="G25" s="34"/>
      <c r="H25" s="34"/>
      <c r="I25" s="34"/>
      <c r="J25" s="26"/>
      <c r="K25" s="26"/>
      <c r="L25" s="26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36.75" customHeight="1">
      <c r="A26" s="33"/>
      <c r="B26" s="36" t="s">
        <v>24</v>
      </c>
      <c r="C26" s="36"/>
      <c r="D26" s="37">
        <f>ROUND(SUMPRODUCT('Precios '!$C$9:$C$25,'Precios '!$D$9:$D$25),2)</f>
        <v>7474731</v>
      </c>
      <c r="E26" s="37">
        <f>ROUND(SUMPRODUCT('Precios '!$C$9:$C$25,'Precios '!$E$9:$E$25),2)</f>
        <v>9415053</v>
      </c>
      <c r="F26" s="37">
        <f>ROUND(SUMPRODUCT('Precios '!$C$9:$C$25,'Precios '!$F$9:$F$25),2)</f>
        <v>13576446</v>
      </c>
      <c r="G26" s="37">
        <f>ROUND(SUMPRODUCT('Precios '!$C$9:$C$25,'Precios '!$G$9:$G$25),2)</f>
        <v>0</v>
      </c>
      <c r="H26" s="37">
        <f>ROUND(SUMPRODUCT('Precios '!$C$9:$C$25,'Precios '!$H$9:$H$25),2)</f>
        <v>0</v>
      </c>
      <c r="I26" s="37">
        <f>ROUND(SUMPRODUCT('Precios '!$C$9:$C$25,'Precios '!$I$9:$I$25),2)</f>
        <v>0</v>
      </c>
      <c r="J26" s="38"/>
      <c r="K26" s="38"/>
      <c r="L26" s="39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2.75" customHeight="1">
      <c r="A27" s="33"/>
      <c r="B27" s="40"/>
      <c r="C27" s="40"/>
      <c r="D27" s="40"/>
      <c r="E27" s="40"/>
      <c r="F27" s="40"/>
      <c r="G27" s="40"/>
      <c r="H27" s="40"/>
      <c r="I27" s="40"/>
      <c r="J27" s="40"/>
      <c r="K27" s="6"/>
      <c r="L27" s="6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52.5" customHeight="1">
      <c r="A28" s="33"/>
      <c r="B28" s="5"/>
      <c r="C28" s="5"/>
      <c r="D28" s="5"/>
      <c r="E28" s="5"/>
      <c r="F28" s="5"/>
      <c r="G28" s="5"/>
      <c r="H28" s="5"/>
      <c r="I28" s="5"/>
      <c r="J28" s="5"/>
      <c r="K28" s="6"/>
      <c r="L28" s="6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2.5" customHeight="1">
      <c r="A29" s="33"/>
      <c r="B29" s="41" t="s">
        <v>25</v>
      </c>
      <c r="C29" s="42"/>
      <c r="D29" s="43"/>
      <c r="E29" s="43"/>
      <c r="F29" s="43"/>
      <c r="G29" s="43"/>
      <c r="H29" s="4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5.5" customHeight="1">
      <c r="A30" s="33"/>
      <c r="B30" s="44" t="s">
        <v>26</v>
      </c>
      <c r="C30" s="45"/>
      <c r="D30" s="46" t="s">
        <v>27</v>
      </c>
      <c r="E30" s="47" t="s">
        <v>28</v>
      </c>
      <c r="F30" s="48" t="s">
        <v>29</v>
      </c>
      <c r="G30" s="49" t="s">
        <v>30</v>
      </c>
      <c r="H30" s="47" t="s">
        <v>31</v>
      </c>
      <c r="I30" s="50" t="s">
        <v>32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8.0" customHeight="1">
      <c r="A31" s="33"/>
      <c r="B31" s="44" t="s">
        <v>33</v>
      </c>
      <c r="C31" s="45"/>
      <c r="D31" s="51">
        <v>0.0</v>
      </c>
      <c r="E31" s="52" t="s">
        <v>34</v>
      </c>
      <c r="F31" s="53" t="s">
        <v>35</v>
      </c>
      <c r="G31" s="54">
        <v>0.0</v>
      </c>
      <c r="H31" s="53" t="s">
        <v>36</v>
      </c>
      <c r="I31" s="53">
        <v>0.0</v>
      </c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2.75" customHeight="1">
      <c r="A32" s="33"/>
      <c r="B32" s="55" t="s">
        <v>37</v>
      </c>
      <c r="C32" s="56"/>
      <c r="D32" s="57"/>
      <c r="E32" s="58"/>
      <c r="F32" s="58"/>
      <c r="G32" s="58"/>
      <c r="H32" s="58"/>
      <c r="I32" s="58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5.75" customHeight="1">
      <c r="A33" s="33"/>
      <c r="B33" s="59"/>
      <c r="D33" s="60"/>
      <c r="E33" s="60"/>
      <c r="F33" s="60"/>
      <c r="G33" s="60"/>
      <c r="H33" s="60"/>
      <c r="I33" s="60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0.25" customHeight="1">
      <c r="A34" s="5"/>
      <c r="B34" s="59"/>
      <c r="D34" s="61" t="s">
        <v>38</v>
      </c>
      <c r="E34" s="62" t="s">
        <v>38</v>
      </c>
      <c r="F34" s="62" t="s">
        <v>38</v>
      </c>
      <c r="G34" s="62" t="s">
        <v>38</v>
      </c>
      <c r="H34" s="62" t="s">
        <v>38</v>
      </c>
      <c r="I34" s="62" t="s">
        <v>38</v>
      </c>
      <c r="J34" s="33"/>
      <c r="K34" s="33"/>
      <c r="L34" s="33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5"/>
      <c r="B35" s="63"/>
      <c r="C35" s="64"/>
      <c r="D35" s="65"/>
      <c r="E35" s="66"/>
      <c r="F35" s="67"/>
      <c r="G35" s="67"/>
      <c r="H35" s="67"/>
      <c r="I35" s="67"/>
      <c r="J35" s="33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6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6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68"/>
      <c r="E38" s="68"/>
      <c r="F38" s="69"/>
      <c r="G38" s="70"/>
      <c r="H38" s="71"/>
      <c r="I38" s="68"/>
      <c r="J38" s="6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68"/>
      <c r="E39" s="68"/>
      <c r="F39" s="69"/>
      <c r="G39" s="72"/>
      <c r="H39" s="71"/>
      <c r="I39" s="68"/>
      <c r="J39" s="5"/>
      <c r="K39" s="6"/>
      <c r="L39" s="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68"/>
      <c r="E40" s="68"/>
      <c r="F40" s="69"/>
      <c r="G40" s="72"/>
      <c r="H40" s="71"/>
      <c r="I40" s="68"/>
      <c r="J40" s="5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68"/>
      <c r="E41" s="68"/>
      <c r="F41" s="69"/>
      <c r="G41" s="72"/>
      <c r="H41" s="71"/>
      <c r="I41" s="68"/>
      <c r="J41" s="5"/>
      <c r="K41" s="6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68"/>
      <c r="E42" s="68"/>
      <c r="F42" s="69"/>
      <c r="G42" s="72"/>
      <c r="H42" s="71"/>
      <c r="I42" s="68"/>
      <c r="J42" s="5"/>
      <c r="K42" s="6"/>
      <c r="L42" s="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68"/>
      <c r="E43" s="68"/>
      <c r="F43" s="69"/>
      <c r="G43" s="72"/>
      <c r="H43" s="71"/>
      <c r="I43" s="68"/>
      <c r="J43" s="5"/>
      <c r="K43" s="6"/>
      <c r="L43" s="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6"/>
      <c r="L44" s="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6"/>
      <c r="L45" s="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6"/>
      <c r="L47" s="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6"/>
      <c r="L50" s="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6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6"/>
      <c r="L53" s="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6"/>
      <c r="L54" s="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6"/>
      <c r="L56" s="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6"/>
      <c r="L57" s="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6"/>
      <c r="L59" s="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6"/>
      <c r="L60" s="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6"/>
      <c r="L61" s="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6"/>
      <c r="L62" s="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6"/>
      <c r="L64" s="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6"/>
      <c r="L65" s="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6"/>
      <c r="L67" s="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6"/>
      <c r="L221" s="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6"/>
      <c r="L222" s="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6"/>
      <c r="L223" s="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6"/>
      <c r="L224" s="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6"/>
      <c r="L225" s="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6"/>
      <c r="L226" s="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6"/>
      <c r="L227" s="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6"/>
      <c r="L228" s="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6"/>
      <c r="L229" s="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6"/>
      <c r="L230" s="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6"/>
      <c r="L231" s="6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6"/>
      <c r="L232" s="6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6"/>
      <c r="L233" s="6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6"/>
      <c r="L234" s="6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6"/>
      <c r="L235" s="6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6"/>
      <c r="L236" s="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6"/>
      <c r="L237" s="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6"/>
      <c r="L238" s="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6"/>
      <c r="L239" s="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6"/>
      <c r="L240" s="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6"/>
      <c r="L241" s="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6"/>
      <c r="L242" s="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6"/>
      <c r="L243" s="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6"/>
      <c r="L244" s="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6"/>
      <c r="L245" s="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6"/>
      <c r="L246" s="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6"/>
      <c r="L247" s="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6"/>
      <c r="L248" s="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6"/>
      <c r="L249" s="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6"/>
      <c r="L250" s="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6"/>
      <c r="L251" s="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6"/>
      <c r="L252" s="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6"/>
      <c r="L253" s="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6"/>
      <c r="L254" s="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6"/>
      <c r="L255" s="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6"/>
      <c r="L256" s="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6"/>
      <c r="L257" s="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6"/>
      <c r="L258" s="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6"/>
      <c r="L259" s="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6"/>
      <c r="L260" s="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6"/>
      <c r="L261" s="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6"/>
      <c r="L262" s="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6"/>
      <c r="L263" s="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6"/>
      <c r="L264" s="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6"/>
      <c r="L265" s="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6"/>
      <c r="L266" s="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6"/>
      <c r="L267" s="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6"/>
      <c r="L268" s="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6"/>
      <c r="L269" s="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6"/>
      <c r="L270" s="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6"/>
      <c r="L271" s="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6"/>
      <c r="L272" s="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6"/>
      <c r="L273" s="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6"/>
      <c r="L274" s="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6"/>
      <c r="L275" s="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6"/>
      <c r="L276" s="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6"/>
      <c r="L277" s="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6"/>
      <c r="L278" s="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6"/>
      <c r="L279" s="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6"/>
      <c r="L280" s="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6"/>
      <c r="L281" s="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6"/>
      <c r="L282" s="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6"/>
      <c r="L283" s="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6"/>
      <c r="L284" s="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6"/>
      <c r="L285" s="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6"/>
      <c r="L286" s="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6"/>
      <c r="L287" s="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6"/>
      <c r="L288" s="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6"/>
      <c r="L289" s="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6"/>
      <c r="L290" s="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6"/>
      <c r="L291" s="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6"/>
      <c r="L292" s="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6"/>
      <c r="L293" s="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6"/>
      <c r="L294" s="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6"/>
      <c r="L295" s="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6"/>
      <c r="L296" s="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6"/>
      <c r="L297" s="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6"/>
      <c r="L298" s="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6"/>
      <c r="L299" s="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6"/>
      <c r="L300" s="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6"/>
      <c r="L301" s="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6"/>
      <c r="L302" s="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6"/>
      <c r="L303" s="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6"/>
      <c r="L304" s="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6"/>
      <c r="L305" s="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6"/>
      <c r="L306" s="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6"/>
      <c r="L307" s="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6"/>
      <c r="L308" s="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6"/>
      <c r="L309" s="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6"/>
      <c r="L310" s="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6"/>
      <c r="L311" s="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6"/>
      <c r="L312" s="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6"/>
      <c r="L313" s="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6"/>
      <c r="L314" s="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6"/>
      <c r="L315" s="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6"/>
      <c r="L316" s="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6"/>
      <c r="L317" s="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6"/>
      <c r="L318" s="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6"/>
      <c r="L319" s="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6"/>
      <c r="L320" s="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6"/>
      <c r="L321" s="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6"/>
      <c r="L322" s="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6"/>
      <c r="L323" s="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6"/>
      <c r="L324" s="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6"/>
      <c r="L325" s="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6"/>
      <c r="L326" s="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6"/>
      <c r="L327" s="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6"/>
      <c r="L328" s="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6"/>
      <c r="L329" s="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6"/>
      <c r="L330" s="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6"/>
      <c r="L331" s="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6"/>
      <c r="L332" s="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6"/>
      <c r="L333" s="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6"/>
      <c r="L334" s="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6"/>
      <c r="L335" s="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6"/>
      <c r="L336" s="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6"/>
      <c r="L337" s="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6"/>
      <c r="L338" s="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6"/>
      <c r="L339" s="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6"/>
      <c r="L340" s="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6"/>
      <c r="L341" s="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6"/>
      <c r="L342" s="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6"/>
      <c r="L343" s="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6"/>
      <c r="L344" s="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6"/>
      <c r="L345" s="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6"/>
      <c r="L346" s="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6"/>
      <c r="L347" s="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6"/>
      <c r="L348" s="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6"/>
      <c r="L349" s="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6"/>
      <c r="L350" s="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6"/>
      <c r="L351" s="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6"/>
      <c r="L352" s="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6"/>
      <c r="L353" s="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6"/>
      <c r="L354" s="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6"/>
      <c r="L355" s="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6"/>
      <c r="L356" s="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6"/>
      <c r="L357" s="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6"/>
      <c r="L358" s="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6"/>
      <c r="L359" s="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6"/>
      <c r="L360" s="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6"/>
      <c r="L361" s="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6"/>
      <c r="L362" s="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6"/>
      <c r="L363" s="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6"/>
      <c r="L364" s="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6"/>
      <c r="L365" s="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6"/>
      <c r="L366" s="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6"/>
      <c r="L367" s="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6"/>
      <c r="L368" s="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6"/>
      <c r="L369" s="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6"/>
      <c r="L370" s="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6"/>
      <c r="L371" s="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6"/>
      <c r="L372" s="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6"/>
      <c r="L373" s="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6"/>
      <c r="L374" s="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6"/>
      <c r="L375" s="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6"/>
      <c r="L376" s="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6"/>
      <c r="L377" s="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6"/>
      <c r="L378" s="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6"/>
      <c r="L379" s="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6"/>
      <c r="L380" s="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6"/>
      <c r="L381" s="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6"/>
      <c r="L382" s="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6"/>
      <c r="L383" s="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6"/>
      <c r="L384" s="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6"/>
      <c r="L385" s="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6"/>
      <c r="L386" s="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6"/>
      <c r="L387" s="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6"/>
      <c r="L388" s="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6"/>
      <c r="L389" s="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6"/>
      <c r="L390" s="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6"/>
      <c r="L391" s="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6"/>
      <c r="L392" s="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6"/>
      <c r="L393" s="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6"/>
      <c r="L394" s="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6"/>
      <c r="L395" s="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6"/>
      <c r="L396" s="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6"/>
      <c r="L397" s="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6"/>
      <c r="L398" s="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6"/>
      <c r="L399" s="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6"/>
      <c r="L400" s="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6"/>
      <c r="L401" s="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6"/>
      <c r="L402" s="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6"/>
      <c r="L403" s="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6"/>
      <c r="L404" s="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6"/>
      <c r="L405" s="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6"/>
      <c r="L406" s="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6"/>
      <c r="L407" s="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6"/>
      <c r="L408" s="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6"/>
      <c r="L409" s="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6"/>
      <c r="L410" s="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6"/>
      <c r="L411" s="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6"/>
      <c r="L412" s="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6"/>
      <c r="L413" s="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6"/>
      <c r="L414" s="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6"/>
      <c r="L415" s="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6"/>
      <c r="L416" s="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6"/>
      <c r="L417" s="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6"/>
      <c r="L418" s="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6"/>
      <c r="L419" s="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6"/>
      <c r="L420" s="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6"/>
      <c r="L421" s="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6"/>
      <c r="L422" s="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6"/>
      <c r="L423" s="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6"/>
      <c r="L424" s="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6"/>
      <c r="L425" s="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6"/>
      <c r="L426" s="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6"/>
      <c r="L427" s="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6"/>
      <c r="L428" s="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6"/>
      <c r="L429" s="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6"/>
      <c r="L430" s="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6"/>
      <c r="L431" s="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6"/>
      <c r="L432" s="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6"/>
      <c r="L433" s="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6"/>
      <c r="L434" s="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6"/>
      <c r="L435" s="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6"/>
      <c r="L436" s="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6"/>
      <c r="L437" s="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6"/>
      <c r="L438" s="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6"/>
      <c r="L439" s="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6"/>
      <c r="L440" s="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6"/>
      <c r="L441" s="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6"/>
      <c r="L442" s="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6"/>
      <c r="L443" s="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6"/>
      <c r="L444" s="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6"/>
      <c r="L445" s="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6"/>
      <c r="L446" s="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6"/>
      <c r="L447" s="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6"/>
      <c r="L448" s="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6"/>
      <c r="L449" s="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6"/>
      <c r="L450" s="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6"/>
      <c r="L451" s="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6"/>
      <c r="L452" s="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6"/>
      <c r="L453" s="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6"/>
      <c r="L454" s="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6"/>
      <c r="L455" s="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6"/>
      <c r="L456" s="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6"/>
      <c r="L457" s="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6"/>
      <c r="L458" s="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6"/>
      <c r="L459" s="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6"/>
      <c r="L460" s="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6"/>
      <c r="L461" s="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6"/>
      <c r="L462" s="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6"/>
      <c r="L463" s="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6"/>
      <c r="L464" s="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6"/>
      <c r="L465" s="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6"/>
      <c r="L466" s="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6"/>
      <c r="L467" s="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6"/>
      <c r="L468" s="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6"/>
      <c r="L469" s="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6"/>
      <c r="L470" s="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6"/>
      <c r="L471" s="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6"/>
      <c r="L472" s="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6"/>
      <c r="L473" s="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6"/>
      <c r="L474" s="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6"/>
      <c r="L475" s="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6"/>
      <c r="L476" s="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6"/>
      <c r="L477" s="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6"/>
      <c r="L478" s="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6"/>
      <c r="L479" s="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6"/>
      <c r="L480" s="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6"/>
      <c r="L481" s="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6"/>
      <c r="L482" s="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6"/>
      <c r="L483" s="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6"/>
      <c r="L484" s="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6"/>
      <c r="L485" s="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6"/>
      <c r="L486" s="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6"/>
      <c r="L487" s="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6"/>
      <c r="L488" s="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6"/>
      <c r="L489" s="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6"/>
      <c r="L490" s="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6"/>
      <c r="L491" s="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6"/>
      <c r="L492" s="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6"/>
      <c r="L493" s="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6"/>
      <c r="L494" s="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6"/>
      <c r="L495" s="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6"/>
      <c r="L496" s="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6"/>
      <c r="L497" s="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6"/>
      <c r="L498" s="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6"/>
      <c r="L499" s="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6"/>
      <c r="L500" s="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6"/>
      <c r="L501" s="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6"/>
      <c r="L502" s="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6"/>
      <c r="L503" s="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6"/>
      <c r="L504" s="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6"/>
      <c r="L505" s="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6"/>
      <c r="L506" s="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6"/>
      <c r="L507" s="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6"/>
      <c r="L508" s="6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6"/>
      <c r="L509" s="6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6"/>
      <c r="L510" s="6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6"/>
      <c r="L511" s="6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6"/>
      <c r="L512" s="6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6"/>
      <c r="L513" s="6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6"/>
      <c r="L514" s="6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6"/>
      <c r="L515" s="6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6"/>
      <c r="L516" s="6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6"/>
      <c r="L517" s="6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6"/>
      <c r="L518" s="6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6"/>
      <c r="L519" s="6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6"/>
      <c r="L520" s="6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6"/>
      <c r="L521" s="6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6"/>
      <c r="L522" s="6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6"/>
      <c r="L523" s="6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6"/>
      <c r="L524" s="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6"/>
      <c r="L525" s="6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6"/>
      <c r="L526" s="6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6"/>
      <c r="L527" s="6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6"/>
      <c r="L528" s="6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6"/>
      <c r="L529" s="6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6"/>
      <c r="L530" s="6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6"/>
      <c r="L531" s="6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6"/>
      <c r="L532" s="6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6"/>
      <c r="L533" s="6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6"/>
      <c r="L534" s="6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6"/>
      <c r="L535" s="6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6"/>
      <c r="L536" s="6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6"/>
      <c r="L537" s="6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6"/>
      <c r="L538" s="6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6"/>
      <c r="L539" s="6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6"/>
      <c r="L540" s="6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6"/>
      <c r="L541" s="6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6"/>
      <c r="L542" s="6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6"/>
      <c r="L543" s="6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6"/>
      <c r="L544" s="6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6"/>
      <c r="L545" s="6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6"/>
      <c r="L546" s="6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6"/>
      <c r="L547" s="6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6"/>
      <c r="L548" s="6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6"/>
      <c r="L549" s="6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6"/>
      <c r="L550" s="6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6"/>
      <c r="L551" s="6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6"/>
      <c r="L552" s="6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6"/>
      <c r="L553" s="6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6"/>
      <c r="L554" s="6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6"/>
      <c r="L555" s="6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6"/>
      <c r="L556" s="6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6"/>
      <c r="L557" s="6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6"/>
      <c r="L558" s="6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6"/>
      <c r="L559" s="6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6"/>
      <c r="L560" s="6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6"/>
      <c r="L561" s="6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6"/>
      <c r="L562" s="6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6"/>
      <c r="L563" s="6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6"/>
      <c r="L564" s="6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6"/>
      <c r="L565" s="6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6"/>
      <c r="L566" s="6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6"/>
      <c r="L567" s="6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6"/>
      <c r="L568" s="6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6"/>
      <c r="L569" s="6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6"/>
      <c r="L570" s="6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6"/>
      <c r="L571" s="6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6"/>
      <c r="L572" s="6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6"/>
      <c r="L573" s="6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6"/>
      <c r="L574" s="6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6"/>
      <c r="L575" s="6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6"/>
      <c r="L576" s="6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6"/>
      <c r="L577" s="6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6"/>
      <c r="L578" s="6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6"/>
      <c r="L579" s="6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6"/>
      <c r="L580" s="6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6"/>
      <c r="L581" s="6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6"/>
      <c r="L582" s="6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6"/>
      <c r="L583" s="6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6"/>
      <c r="L584" s="6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6"/>
      <c r="L585" s="6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6"/>
      <c r="L586" s="6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6"/>
      <c r="L587" s="6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6"/>
      <c r="L588" s="6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6"/>
      <c r="L589" s="6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6"/>
      <c r="L590" s="6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6"/>
      <c r="L591" s="6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6"/>
      <c r="L592" s="6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6"/>
      <c r="L593" s="6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6"/>
      <c r="L594" s="6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6"/>
      <c r="L595" s="6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6"/>
      <c r="L596" s="6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6"/>
      <c r="L597" s="6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6"/>
      <c r="L598" s="6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6"/>
      <c r="L599" s="6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6"/>
      <c r="L600" s="6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6"/>
      <c r="L601" s="6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6"/>
      <c r="L602" s="6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6"/>
      <c r="L603" s="6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6"/>
      <c r="L604" s="6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6"/>
      <c r="L605" s="6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6"/>
      <c r="L606" s="6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6"/>
      <c r="L607" s="6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6"/>
      <c r="L608" s="6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6"/>
      <c r="L609" s="6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6"/>
      <c r="L610" s="6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6"/>
      <c r="L611" s="6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6"/>
      <c r="L612" s="6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6"/>
      <c r="L613" s="6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6"/>
      <c r="L614" s="6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6"/>
      <c r="L615" s="6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6"/>
      <c r="L616" s="6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6"/>
      <c r="L617" s="6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6"/>
      <c r="L618" s="6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6"/>
      <c r="L619" s="6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6"/>
      <c r="L620" s="6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6"/>
      <c r="L621" s="6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6"/>
      <c r="L622" s="6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6"/>
      <c r="L623" s="6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6"/>
      <c r="L624" s="6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6"/>
      <c r="L625" s="6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6"/>
      <c r="L626" s="6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6"/>
      <c r="L627" s="6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6"/>
      <c r="L628" s="6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6"/>
      <c r="L629" s="6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6"/>
      <c r="L630" s="6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6"/>
      <c r="L631" s="6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6"/>
      <c r="L632" s="6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6"/>
      <c r="L633" s="6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6"/>
      <c r="L634" s="6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6"/>
      <c r="L635" s="6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6"/>
      <c r="L636" s="6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6"/>
      <c r="L637" s="6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6"/>
      <c r="L638" s="6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6"/>
      <c r="L639" s="6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6"/>
      <c r="L640" s="6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6"/>
      <c r="L641" s="6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6"/>
      <c r="L642" s="6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6"/>
      <c r="L643" s="6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6"/>
      <c r="L644" s="6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6"/>
      <c r="L645" s="6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6"/>
      <c r="L646" s="6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6"/>
      <c r="L647" s="6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6"/>
      <c r="L648" s="6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6"/>
      <c r="L649" s="6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6"/>
      <c r="L650" s="6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6"/>
      <c r="L651" s="6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6"/>
      <c r="L652" s="6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6"/>
      <c r="L653" s="6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6"/>
      <c r="L654" s="6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6"/>
      <c r="L655" s="6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6"/>
      <c r="L656" s="6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6"/>
      <c r="L657" s="6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6"/>
      <c r="L658" s="6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6"/>
      <c r="L659" s="6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6"/>
      <c r="L660" s="6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6"/>
      <c r="L661" s="6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6"/>
      <c r="L662" s="6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6"/>
      <c r="L663" s="6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6"/>
      <c r="L664" s="6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6"/>
      <c r="L665" s="6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6"/>
      <c r="L666" s="6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6"/>
      <c r="L667" s="6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6"/>
      <c r="L668" s="6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6"/>
      <c r="L669" s="6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6"/>
      <c r="L670" s="6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6"/>
      <c r="L671" s="6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6"/>
      <c r="L672" s="6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6"/>
      <c r="L673" s="6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6"/>
      <c r="L674" s="6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6"/>
      <c r="L675" s="6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6"/>
      <c r="L676" s="6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6"/>
      <c r="L677" s="6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6"/>
      <c r="L678" s="6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6"/>
      <c r="L679" s="6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6"/>
      <c r="L680" s="6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6"/>
      <c r="L681" s="6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6"/>
      <c r="L682" s="6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6"/>
      <c r="L683" s="6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6"/>
      <c r="L684" s="6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6"/>
      <c r="L685" s="6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6"/>
      <c r="L686" s="6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6"/>
      <c r="L687" s="6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6"/>
      <c r="L688" s="6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6"/>
      <c r="L689" s="6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6"/>
      <c r="L690" s="6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6"/>
      <c r="L691" s="6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6"/>
      <c r="L692" s="6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6"/>
      <c r="L693" s="6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6"/>
      <c r="L694" s="6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6"/>
      <c r="L695" s="6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6"/>
      <c r="L696" s="6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6"/>
      <c r="L697" s="6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6"/>
      <c r="L698" s="6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6"/>
      <c r="L699" s="6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6"/>
      <c r="L700" s="6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6"/>
      <c r="L701" s="6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6"/>
      <c r="L702" s="6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6"/>
      <c r="L703" s="6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6"/>
      <c r="L704" s="6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6"/>
      <c r="L705" s="6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6"/>
      <c r="L706" s="6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6"/>
      <c r="L707" s="6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6"/>
      <c r="L708" s="6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6"/>
      <c r="L709" s="6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6"/>
      <c r="L710" s="6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6"/>
      <c r="L711" s="6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6"/>
      <c r="L712" s="6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6"/>
      <c r="L713" s="6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6"/>
      <c r="L714" s="6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6"/>
      <c r="L715" s="6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6"/>
      <c r="L716" s="6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6"/>
      <c r="L717" s="6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6"/>
      <c r="L718" s="6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6"/>
      <c r="L719" s="6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6"/>
      <c r="L720" s="6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6"/>
      <c r="L721" s="6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6"/>
      <c r="L722" s="6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6"/>
      <c r="L723" s="6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6"/>
      <c r="L724" s="6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6"/>
      <c r="L725" s="6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6"/>
      <c r="L726" s="6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6"/>
      <c r="L727" s="6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6"/>
      <c r="L728" s="6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6"/>
      <c r="L729" s="6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6"/>
      <c r="L730" s="6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6"/>
      <c r="L731" s="6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6"/>
      <c r="L732" s="6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6"/>
      <c r="L733" s="6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6"/>
      <c r="L734" s="6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6"/>
      <c r="L735" s="6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6"/>
      <c r="L736" s="6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6"/>
      <c r="L737" s="6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6"/>
      <c r="L738" s="6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6"/>
      <c r="L739" s="6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6"/>
      <c r="L740" s="6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6"/>
      <c r="L741" s="6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6"/>
      <c r="L742" s="6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6"/>
      <c r="L743" s="6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6"/>
      <c r="L744" s="6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6"/>
      <c r="L745" s="6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6"/>
      <c r="L746" s="6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6"/>
      <c r="L747" s="6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6"/>
      <c r="L748" s="6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6"/>
      <c r="L749" s="6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6"/>
      <c r="L750" s="6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6"/>
      <c r="L751" s="6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6"/>
      <c r="L752" s="6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6"/>
      <c r="L753" s="6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6"/>
      <c r="L754" s="6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6"/>
      <c r="L755" s="6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6"/>
      <c r="L756" s="6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6"/>
      <c r="L757" s="6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6"/>
      <c r="L758" s="6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6"/>
      <c r="L759" s="6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6"/>
      <c r="L760" s="6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6"/>
      <c r="L761" s="6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6"/>
      <c r="L762" s="6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6"/>
      <c r="L763" s="6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6"/>
      <c r="L764" s="6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6"/>
      <c r="L765" s="6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6"/>
      <c r="L766" s="6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6"/>
      <c r="L767" s="6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6"/>
      <c r="L768" s="6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6"/>
      <c r="L769" s="6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6"/>
      <c r="L770" s="6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6"/>
      <c r="L771" s="6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6"/>
      <c r="L772" s="6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6"/>
      <c r="L773" s="6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6"/>
      <c r="L774" s="6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6"/>
      <c r="L775" s="6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6"/>
      <c r="L776" s="6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6"/>
      <c r="L777" s="6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6"/>
      <c r="L778" s="6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6"/>
      <c r="L779" s="6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6"/>
      <c r="L780" s="6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6"/>
      <c r="L781" s="6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6"/>
      <c r="L782" s="6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6"/>
      <c r="L783" s="6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6"/>
      <c r="L784" s="6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6"/>
      <c r="L785" s="6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6"/>
      <c r="L786" s="6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6"/>
      <c r="L787" s="6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6"/>
      <c r="L788" s="6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6"/>
      <c r="L789" s="6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6"/>
      <c r="L790" s="6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6"/>
      <c r="L791" s="6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6"/>
      <c r="L792" s="6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6"/>
      <c r="L793" s="6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6"/>
      <c r="L794" s="6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6"/>
      <c r="L795" s="6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6"/>
      <c r="L796" s="6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6"/>
      <c r="L797" s="6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6"/>
      <c r="L798" s="6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6"/>
      <c r="L799" s="6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6"/>
      <c r="L800" s="6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6"/>
      <c r="L801" s="6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6"/>
      <c r="L802" s="6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6"/>
      <c r="L803" s="6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6"/>
      <c r="L804" s="6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6"/>
      <c r="L805" s="6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6"/>
      <c r="L806" s="6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6"/>
      <c r="L807" s="6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6"/>
      <c r="L808" s="6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6"/>
      <c r="L809" s="6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6"/>
      <c r="L810" s="6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6"/>
      <c r="L811" s="6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6"/>
      <c r="L812" s="6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6"/>
      <c r="L813" s="6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6"/>
      <c r="L814" s="6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6"/>
      <c r="L815" s="6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6"/>
      <c r="L816" s="6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6"/>
      <c r="L817" s="6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6"/>
      <c r="L818" s="6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6"/>
      <c r="L819" s="6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6"/>
      <c r="L820" s="6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6"/>
      <c r="L821" s="6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6"/>
      <c r="L822" s="6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6"/>
      <c r="L823" s="6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6"/>
      <c r="L824" s="6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6"/>
      <c r="L825" s="6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6"/>
      <c r="L826" s="6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6"/>
      <c r="L827" s="6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6"/>
      <c r="L828" s="6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6"/>
      <c r="L829" s="6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6"/>
      <c r="L830" s="6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6"/>
      <c r="L831" s="6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6"/>
      <c r="L832" s="6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6"/>
      <c r="L833" s="6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6"/>
      <c r="L834" s="6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6"/>
      <c r="L835" s="6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6"/>
      <c r="L836" s="6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6"/>
      <c r="L837" s="6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6"/>
      <c r="L838" s="6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6"/>
      <c r="L839" s="6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6"/>
      <c r="L840" s="6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6"/>
      <c r="L841" s="6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6"/>
      <c r="L842" s="6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6"/>
      <c r="L843" s="6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6"/>
      <c r="L844" s="6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6"/>
      <c r="L845" s="6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6"/>
      <c r="L846" s="6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6"/>
      <c r="L847" s="6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6"/>
      <c r="L848" s="6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6"/>
      <c r="L849" s="6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6"/>
      <c r="L850" s="6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6"/>
      <c r="L851" s="6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6"/>
      <c r="L852" s="6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6"/>
      <c r="L853" s="6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6"/>
      <c r="L854" s="6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6"/>
      <c r="L855" s="6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6"/>
      <c r="L856" s="6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6"/>
      <c r="L857" s="6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6"/>
      <c r="L858" s="6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6"/>
      <c r="L859" s="6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6"/>
      <c r="L860" s="6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6"/>
      <c r="L861" s="6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6"/>
      <c r="L862" s="6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6"/>
      <c r="L863" s="6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6"/>
      <c r="L864" s="6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6"/>
      <c r="L865" s="6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6"/>
      <c r="L866" s="6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6"/>
      <c r="L867" s="6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6"/>
      <c r="L868" s="6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6"/>
      <c r="L869" s="6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6"/>
      <c r="L870" s="6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6"/>
      <c r="L871" s="6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6"/>
      <c r="L872" s="6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6"/>
      <c r="L873" s="6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6"/>
      <c r="L874" s="6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6"/>
      <c r="L875" s="6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6"/>
      <c r="L876" s="6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6"/>
      <c r="L877" s="6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6"/>
      <c r="L878" s="6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6"/>
      <c r="L879" s="6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6"/>
      <c r="L880" s="6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6"/>
      <c r="L881" s="6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6"/>
      <c r="L882" s="6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6"/>
      <c r="L883" s="6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6"/>
      <c r="L884" s="6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6"/>
      <c r="L885" s="6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6"/>
      <c r="L886" s="6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6"/>
      <c r="L887" s="6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6"/>
      <c r="L888" s="6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6"/>
      <c r="L889" s="6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6"/>
      <c r="L890" s="6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6"/>
      <c r="L891" s="6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6"/>
      <c r="L892" s="6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6"/>
      <c r="L893" s="6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6"/>
      <c r="L894" s="6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6"/>
      <c r="L895" s="6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6"/>
      <c r="L896" s="6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6"/>
      <c r="L897" s="6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6"/>
      <c r="L898" s="6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6"/>
      <c r="L899" s="6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6"/>
      <c r="L900" s="6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6"/>
      <c r="L901" s="6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6"/>
      <c r="L902" s="6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6"/>
      <c r="L903" s="6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6"/>
      <c r="L904" s="6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6"/>
      <c r="L905" s="6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6"/>
      <c r="L906" s="6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6"/>
      <c r="L907" s="6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6"/>
      <c r="L908" s="6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6"/>
      <c r="L909" s="6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6"/>
      <c r="L910" s="6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6"/>
      <c r="L911" s="6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6"/>
      <c r="L912" s="6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6"/>
      <c r="L913" s="6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6"/>
      <c r="L914" s="6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6"/>
      <c r="L915" s="6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6"/>
      <c r="L916" s="6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6"/>
      <c r="L917" s="6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6"/>
      <c r="L918" s="6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6"/>
      <c r="L919" s="6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6"/>
      <c r="L920" s="6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6"/>
      <c r="L921" s="6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6"/>
      <c r="L922" s="6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6"/>
      <c r="L923" s="6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6"/>
      <c r="L924" s="6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6"/>
      <c r="L925" s="6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6"/>
      <c r="L926" s="6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6"/>
      <c r="L927" s="6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6"/>
      <c r="L928" s="6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6"/>
      <c r="L929" s="6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6"/>
      <c r="L930" s="6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6"/>
      <c r="L931" s="6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6"/>
      <c r="L932" s="6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6"/>
      <c r="L933" s="6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6"/>
      <c r="L934" s="6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6"/>
      <c r="L935" s="6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6"/>
      <c r="L936" s="6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6"/>
      <c r="L937" s="6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6"/>
      <c r="L938" s="6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6"/>
      <c r="L939" s="6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6"/>
      <c r="L940" s="6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6"/>
      <c r="L941" s="6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6"/>
      <c r="L942" s="6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6"/>
      <c r="L943" s="6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6"/>
      <c r="L944" s="6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6"/>
      <c r="L945" s="6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6"/>
      <c r="L946" s="6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6"/>
      <c r="L947" s="6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6"/>
      <c r="L948" s="6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6"/>
      <c r="L949" s="6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6"/>
      <c r="L950" s="6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6"/>
      <c r="L951" s="6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6"/>
      <c r="L952" s="6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6"/>
      <c r="L953" s="6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6"/>
      <c r="L954" s="6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6"/>
      <c r="L955" s="6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6"/>
      <c r="L956" s="6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6"/>
      <c r="L957" s="6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6"/>
      <c r="L958" s="6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6"/>
      <c r="L959" s="6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6"/>
      <c r="L960" s="6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6"/>
      <c r="L961" s="6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6"/>
      <c r="L962" s="6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6"/>
      <c r="L963" s="6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6"/>
      <c r="L964" s="6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6"/>
      <c r="L965" s="6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6"/>
      <c r="L966" s="6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6"/>
      <c r="L967" s="6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6"/>
      <c r="L968" s="6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6"/>
      <c r="L969" s="6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6"/>
      <c r="L970" s="6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6"/>
      <c r="L971" s="6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6"/>
      <c r="L972" s="6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6"/>
      <c r="L973" s="6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6"/>
      <c r="L974" s="6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6"/>
      <c r="L975" s="6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6"/>
      <c r="L976" s="6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6"/>
      <c r="L977" s="6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6"/>
      <c r="L978" s="6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6"/>
      <c r="L979" s="6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6"/>
      <c r="L980" s="6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6"/>
      <c r="L981" s="6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6"/>
      <c r="L982" s="6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6"/>
      <c r="L983" s="6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6"/>
      <c r="L984" s="6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6"/>
      <c r="L985" s="6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6"/>
      <c r="L986" s="6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6"/>
      <c r="L987" s="6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6"/>
      <c r="L988" s="6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6"/>
      <c r="L989" s="6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6"/>
      <c r="L990" s="6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6"/>
      <c r="L991" s="6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6"/>
      <c r="L992" s="6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6"/>
      <c r="L993" s="6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6"/>
      <c r="L994" s="6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6"/>
      <c r="L995" s="6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6"/>
      <c r="L996" s="6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6"/>
      <c r="L997" s="6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6"/>
      <c r="L998" s="6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6"/>
      <c r="L999" s="6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6"/>
      <c r="L1000" s="6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J7:L7"/>
    <mergeCell ref="B29:C29"/>
    <mergeCell ref="B30:C30"/>
    <mergeCell ref="B31:C31"/>
    <mergeCell ref="B32:C35"/>
  </mergeCells>
  <conditionalFormatting sqref="B8:C9 D26:I26">
    <cfRule type="expression" dxfId="0" priority="1">
      <formula>AND(B$26=MIN($D$26:$I$26),B$26&lt;&gt;0)</formula>
    </cfRule>
  </conditionalFormatting>
  <conditionalFormatting sqref="D8:I9">
    <cfRule type="expression" dxfId="0" priority="2">
      <formula>AND(D$26=MIN($D$26:$I$26),D$26&lt;&gt;0)</formula>
    </cfRule>
  </conditionalFormatting>
  <conditionalFormatting sqref="D9:I25">
    <cfRule type="expression" dxfId="1" priority="3">
      <formula>AND(D$26=MIN($D$26:$I$26),D$26&lt;&gt;0)</formula>
    </cfRule>
  </conditionalFormatting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.0"/>
    <col customWidth="1" min="2" max="2" width="23.5"/>
    <col customWidth="1" min="3" max="3" width="31.5"/>
    <col customWidth="1" min="4" max="4" width="25.0"/>
    <col customWidth="1" min="5" max="5" width="34.33"/>
    <col customWidth="1" min="6" max="6" width="25.17"/>
    <col customWidth="1" min="7" max="9" width="22.17"/>
    <col customWidth="1" min="10" max="10" width="31.17"/>
    <col customWidth="1" min="11" max="11" width="23.5"/>
    <col customWidth="1" min="12" max="12" width="24.83"/>
    <col customWidth="1" min="13" max="13" width="20.5"/>
    <col customWidth="1" min="14" max="14" width="20.67"/>
    <col customWidth="1" min="15" max="26" width="9.33"/>
  </cols>
  <sheetData>
    <row r="1" ht="15.0" customHeight="1">
      <c r="A1" s="5"/>
      <c r="B1" s="5"/>
      <c r="C1" s="5"/>
      <c r="D1" s="5"/>
      <c r="E1" s="5"/>
      <c r="F1" s="5"/>
      <c r="G1" s="5"/>
      <c r="H1" s="5"/>
      <c r="I1" s="5"/>
      <c r="J1" s="5"/>
      <c r="K1" s="6"/>
      <c r="L1" s="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4.75" customHeight="1">
      <c r="A2" s="5"/>
      <c r="B2" s="2"/>
      <c r="C2" s="2"/>
      <c r="D2" s="2"/>
      <c r="E2" s="2"/>
      <c r="F2" s="2"/>
      <c r="G2" s="2"/>
      <c r="H2" s="2"/>
      <c r="I2" s="7"/>
      <c r="J2" s="7"/>
      <c r="K2" s="7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5"/>
      <c r="B5" s="3" t="s">
        <v>1</v>
      </c>
      <c r="C5" s="3"/>
      <c r="D5" s="5"/>
      <c r="E5" s="5"/>
      <c r="F5" s="5"/>
      <c r="G5" s="5"/>
      <c r="H5" s="5"/>
      <c r="I5" s="5"/>
      <c r="J5" s="5"/>
      <c r="K5" s="6"/>
      <c r="L5" s="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5"/>
      <c r="B6" s="8" t="s">
        <v>2</v>
      </c>
      <c r="C6" s="8"/>
      <c r="D6" s="3"/>
      <c r="E6" s="3"/>
      <c r="F6" s="3"/>
      <c r="G6" s="3"/>
      <c r="H6" s="3"/>
      <c r="I6" s="3"/>
      <c r="J6" s="9"/>
      <c r="K6" s="9"/>
      <c r="L6" s="9"/>
      <c r="M6" s="9"/>
      <c r="N6" s="9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75" customHeight="1">
      <c r="A7" s="5"/>
      <c r="B7" s="5"/>
      <c r="C7" s="5"/>
      <c r="D7" s="5"/>
      <c r="E7" s="5"/>
      <c r="F7" s="5"/>
      <c r="G7" s="5"/>
      <c r="H7" s="5"/>
      <c r="I7" s="5"/>
      <c r="J7" s="73" t="s">
        <v>3</v>
      </c>
      <c r="K7" s="74"/>
      <c r="L7" s="7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6.5" customHeight="1">
      <c r="A8" s="18"/>
      <c r="B8" s="76" t="s">
        <v>4</v>
      </c>
      <c r="C8" s="76" t="s">
        <v>5</v>
      </c>
      <c r="D8" s="76" t="s">
        <v>6</v>
      </c>
      <c r="E8" s="76" t="s">
        <v>7</v>
      </c>
      <c r="F8" s="76" t="s">
        <v>8</v>
      </c>
      <c r="G8" s="76" t="s">
        <v>9</v>
      </c>
      <c r="H8" s="76" t="s">
        <v>10</v>
      </c>
      <c r="I8" s="76" t="s">
        <v>11</v>
      </c>
      <c r="J8" s="77" t="s">
        <v>12</v>
      </c>
      <c r="K8" s="78" t="s">
        <v>13</v>
      </c>
      <c r="L8" s="79" t="s">
        <v>14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2.75" customHeight="1">
      <c r="A9" s="28"/>
      <c r="B9" s="80" t="s">
        <v>39</v>
      </c>
      <c r="C9" s="81">
        <v>1.0</v>
      </c>
      <c r="D9" s="82">
        <v>1903881.0</v>
      </c>
      <c r="E9" s="82">
        <v>2379881.0</v>
      </c>
      <c r="F9" s="82">
        <v>2974881.0</v>
      </c>
      <c r="G9" s="83"/>
      <c r="H9" s="83"/>
      <c r="I9" s="83"/>
      <c r="J9" s="84">
        <f t="shared" ref="J9:J21" si="1">MIN(D9:F9)</f>
        <v>1903881</v>
      </c>
      <c r="K9" s="85">
        <f>IFERROR(AVERAGE('Precios  (2)'!$D9:$I9),0)</f>
        <v>2419547.667</v>
      </c>
      <c r="L9" s="86">
        <f>MAX('Precios  (2)'!$D9:$I9)</f>
        <v>2974881</v>
      </c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2.75" customHeight="1">
      <c r="A10" s="28"/>
      <c r="B10" s="80" t="s">
        <v>40</v>
      </c>
      <c r="C10" s="81">
        <v>1.0</v>
      </c>
      <c r="D10" s="82">
        <v>831810.0</v>
      </c>
      <c r="E10" s="82">
        <v>595000.0</v>
      </c>
      <c r="F10" s="82">
        <v>523481.0</v>
      </c>
      <c r="G10" s="83"/>
      <c r="H10" s="83"/>
      <c r="I10" s="83"/>
      <c r="J10" s="84">
        <f t="shared" si="1"/>
        <v>523481</v>
      </c>
      <c r="K10" s="85">
        <f>IFERROR(AVERAGE('Precios  (2)'!$D10:$I10),0)</f>
        <v>650097</v>
      </c>
      <c r="L10" s="86">
        <f>MAX('Precios  (2)'!$D10:$I10)</f>
        <v>831810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2.75" customHeight="1">
      <c r="A11" s="28"/>
      <c r="B11" s="80" t="s">
        <v>41</v>
      </c>
      <c r="C11" s="81">
        <v>1.0</v>
      </c>
      <c r="D11" s="83">
        <v>289919.0</v>
      </c>
      <c r="E11" s="83">
        <v>304888.0</v>
      </c>
      <c r="F11" s="83">
        <v>263224.0</v>
      </c>
      <c r="G11" s="83"/>
      <c r="H11" s="83"/>
      <c r="I11" s="83"/>
      <c r="J11" s="84">
        <f t="shared" si="1"/>
        <v>263224</v>
      </c>
      <c r="K11" s="85">
        <f>IFERROR(AVERAGE('Precios  (2)'!$D11:$I11),0)</f>
        <v>286010.3333</v>
      </c>
      <c r="L11" s="86">
        <f>MAX('Precios  (2)'!$D11:$I11)</f>
        <v>304888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2.75" customHeight="1">
      <c r="A12" s="28"/>
      <c r="B12" s="80" t="s">
        <v>42</v>
      </c>
      <c r="C12" s="81">
        <v>1.0</v>
      </c>
      <c r="D12" s="82">
        <v>213010.0</v>
      </c>
      <c r="E12" s="82">
        <v>202300.0</v>
      </c>
      <c r="F12" s="82">
        <v>202300.0</v>
      </c>
      <c r="G12" s="83"/>
      <c r="H12" s="83"/>
      <c r="I12" s="83"/>
      <c r="J12" s="84">
        <f t="shared" si="1"/>
        <v>202300</v>
      </c>
      <c r="K12" s="85">
        <f>IFERROR(AVERAGE('Precios  (2)'!$D12:$I12),0)</f>
        <v>205870</v>
      </c>
      <c r="L12" s="86">
        <f>MAX('Precios  (2)'!$D12:$I12)</f>
        <v>213010</v>
      </c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2.75" customHeight="1">
      <c r="A13" s="28"/>
      <c r="B13" s="80" t="s">
        <v>43</v>
      </c>
      <c r="C13" s="81">
        <v>1.0</v>
      </c>
      <c r="D13" s="82">
        <v>1666000.0</v>
      </c>
      <c r="E13" s="82">
        <v>928200.0</v>
      </c>
      <c r="F13" s="82">
        <v>1428000.0</v>
      </c>
      <c r="G13" s="83"/>
      <c r="H13" s="83"/>
      <c r="I13" s="83"/>
      <c r="J13" s="84">
        <f t="shared" si="1"/>
        <v>928200</v>
      </c>
      <c r="K13" s="85">
        <f>IFERROR(AVERAGE('Precios  (2)'!$D13:$I13),0)</f>
        <v>1340733.333</v>
      </c>
      <c r="L13" s="86">
        <f>MAX('Precios  (2)'!$D13:$I13)</f>
        <v>1666000</v>
      </c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2.75" customHeight="1">
      <c r="A14" s="28"/>
      <c r="B14" s="80" t="s">
        <v>44</v>
      </c>
      <c r="C14" s="81">
        <v>1.0</v>
      </c>
      <c r="D14" s="82">
        <v>141610.0</v>
      </c>
      <c r="E14" s="82">
        <v>248710.0</v>
      </c>
      <c r="F14" s="82">
        <v>130900.0</v>
      </c>
      <c r="G14" s="83"/>
      <c r="H14" s="83"/>
      <c r="I14" s="83"/>
      <c r="J14" s="84">
        <f t="shared" si="1"/>
        <v>130900</v>
      </c>
      <c r="K14" s="87">
        <f>IFERROR(AVERAGE('Precios  (2)'!$D14:$I14),0)</f>
        <v>173740</v>
      </c>
      <c r="L14" s="88">
        <f>MAX('Precios  (2)'!$D14:$I14)</f>
        <v>248710</v>
      </c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2.75" customHeight="1">
      <c r="A15" s="33"/>
      <c r="B15" s="89" t="s">
        <v>45</v>
      </c>
      <c r="C15" s="90">
        <v>1.0</v>
      </c>
      <c r="D15" s="91">
        <v>291500.0</v>
      </c>
      <c r="E15" s="92">
        <v>310102.0</v>
      </c>
      <c r="F15" s="92">
        <v>422083.0</v>
      </c>
      <c r="G15" s="92"/>
      <c r="H15" s="92"/>
      <c r="I15" s="92"/>
      <c r="J15" s="84">
        <f t="shared" si="1"/>
        <v>291500</v>
      </c>
      <c r="K15" s="85">
        <f>IFERROR(AVERAGE('Precios  (2)'!$D15:$I15),0)</f>
        <v>341228.3333</v>
      </c>
      <c r="L15" s="86">
        <f>MAX('Precios  (2)'!$D15:$I15)</f>
        <v>422083</v>
      </c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2.75" customHeight="1">
      <c r="A16" s="33"/>
      <c r="B16" s="89" t="s">
        <v>46</v>
      </c>
      <c r="C16" s="90">
        <v>1.0</v>
      </c>
      <c r="D16" s="92">
        <v>139468.0</v>
      </c>
      <c r="E16" s="92">
        <v>60095.0</v>
      </c>
      <c r="F16" s="92">
        <v>100436.0</v>
      </c>
      <c r="G16" s="92"/>
      <c r="H16" s="92"/>
      <c r="I16" s="92"/>
      <c r="J16" s="84">
        <f t="shared" si="1"/>
        <v>60095</v>
      </c>
      <c r="K16" s="85">
        <f>IFERROR(AVERAGE('Precios  (2)'!$D16:$I16),0)</f>
        <v>99999.66667</v>
      </c>
      <c r="L16" s="86">
        <f>MAX('Precios  (2)'!$D16:$I16)</f>
        <v>139468</v>
      </c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2.75" customHeight="1">
      <c r="A17" s="33"/>
      <c r="B17" s="89" t="s">
        <v>47</v>
      </c>
      <c r="C17" s="90">
        <v>1.0</v>
      </c>
      <c r="D17" s="92">
        <v>23900.0</v>
      </c>
      <c r="E17" s="92">
        <v>93000.0</v>
      </c>
      <c r="F17" s="92">
        <v>138674.0</v>
      </c>
      <c r="G17" s="92"/>
      <c r="H17" s="92"/>
      <c r="I17" s="92"/>
      <c r="J17" s="84">
        <f t="shared" si="1"/>
        <v>23900</v>
      </c>
      <c r="K17" s="87">
        <f>IFERROR(AVERAGE('Precios  (2)'!$D17:$I17),0)</f>
        <v>85191.33333</v>
      </c>
      <c r="L17" s="88">
        <f>MAX('Precios  (2)'!$D17:$I17)</f>
        <v>138674</v>
      </c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2.75" customHeight="1">
      <c r="A18" s="33"/>
      <c r="B18" s="93" t="s">
        <v>48</v>
      </c>
      <c r="C18" s="94">
        <v>1.0</v>
      </c>
      <c r="D18" s="95">
        <v>0.0</v>
      </c>
      <c r="E18" s="95">
        <v>3375506.0</v>
      </c>
      <c r="F18" s="95">
        <v>0.0</v>
      </c>
      <c r="G18" s="95"/>
      <c r="H18" s="96"/>
      <c r="I18" s="95"/>
      <c r="J18" s="84">
        <f t="shared" si="1"/>
        <v>0</v>
      </c>
      <c r="K18" s="85">
        <f>IFERROR(AVERAGE('Precios  (2)'!$D18:$I18),0)</f>
        <v>1125168.667</v>
      </c>
      <c r="L18" s="86">
        <f>MAX('Precios  (2)'!$D18:$I18)</f>
        <v>3375506</v>
      </c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2.75" customHeight="1">
      <c r="A19" s="33"/>
      <c r="B19" s="93" t="s">
        <v>49</v>
      </c>
      <c r="C19" s="94">
        <v>1.0</v>
      </c>
      <c r="D19" s="95">
        <v>0.0</v>
      </c>
      <c r="E19" s="95">
        <v>668127.0</v>
      </c>
      <c r="F19" s="95">
        <v>960021.0</v>
      </c>
      <c r="G19" s="95"/>
      <c r="H19" s="96"/>
      <c r="I19" s="95"/>
      <c r="J19" s="84">
        <f t="shared" si="1"/>
        <v>0</v>
      </c>
      <c r="K19" s="85">
        <f>IFERROR(AVERAGE('Precios  (2)'!$D19:$I19),0)</f>
        <v>542716</v>
      </c>
      <c r="L19" s="86">
        <f>MAX('Precios  (2)'!$D19:$I19)</f>
        <v>960021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2.75" customHeight="1">
      <c r="A20" s="33"/>
      <c r="B20" s="93" t="s">
        <v>23</v>
      </c>
      <c r="C20" s="94">
        <v>1.0</v>
      </c>
      <c r="D20" s="95">
        <v>51158.0</v>
      </c>
      <c r="E20" s="95">
        <v>99001.0</v>
      </c>
      <c r="F20" s="95">
        <v>56525.0</v>
      </c>
      <c r="G20" s="95"/>
      <c r="H20" s="96"/>
      <c r="I20" s="95"/>
      <c r="J20" s="84">
        <f t="shared" si="1"/>
        <v>51158</v>
      </c>
      <c r="K20" s="85">
        <f>IFERROR(AVERAGE('Precios  (2)'!$D20:$I20),0)</f>
        <v>68894.66667</v>
      </c>
      <c r="L20" s="86">
        <f>MAX('Precios  (2)'!$D20:$I20)</f>
        <v>99001</v>
      </c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2.75" customHeight="1">
      <c r="A21" s="33"/>
      <c r="B21" s="93" t="s">
        <v>50</v>
      </c>
      <c r="C21" s="94">
        <v>1.0</v>
      </c>
      <c r="D21" s="95">
        <v>0.0</v>
      </c>
      <c r="E21" s="95">
        <v>4666832.0</v>
      </c>
      <c r="F21" s="95">
        <v>1790434.0</v>
      </c>
      <c r="G21" s="95"/>
      <c r="H21" s="96"/>
      <c r="I21" s="95"/>
      <c r="J21" s="84">
        <f t="shared" si="1"/>
        <v>0</v>
      </c>
      <c r="K21" s="85">
        <f>IFERROR(AVERAGE('Precios  (2)'!$D21:$I21),0)</f>
        <v>2152422</v>
      </c>
      <c r="L21" s="86">
        <f>MAX('Precios  (2)'!$D21:$I21)</f>
        <v>4666832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2.75" customHeight="1">
      <c r="A22" s="33"/>
      <c r="B22" s="96"/>
      <c r="C22" s="94"/>
      <c r="D22" s="95"/>
      <c r="E22" s="95"/>
      <c r="F22" s="95"/>
      <c r="G22" s="95"/>
      <c r="H22" s="96"/>
      <c r="I22" s="95"/>
      <c r="J22" s="97" t="str">
        <f>H23</f>
        <v/>
      </c>
      <c r="K22" s="85"/>
      <c r="L22" s="86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2.75" customHeight="1">
      <c r="A23" s="33"/>
      <c r="B23" s="96"/>
      <c r="C23" s="94"/>
      <c r="D23" s="95"/>
      <c r="E23" s="95"/>
      <c r="F23" s="95"/>
      <c r="G23" s="95"/>
      <c r="H23" s="96"/>
      <c r="I23" s="95"/>
      <c r="J23" s="97">
        <f>SUM(J9:J21)</f>
        <v>4378639</v>
      </c>
      <c r="K23" s="85">
        <f t="shared" ref="K23:L23" si="2">SUM(K6:K21)</f>
        <v>9491619</v>
      </c>
      <c r="L23" s="86">
        <f t="shared" si="2"/>
        <v>16040884</v>
      </c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2.75" customHeight="1">
      <c r="A24" s="33"/>
      <c r="B24" s="96"/>
      <c r="C24" s="94"/>
      <c r="D24" s="95"/>
      <c r="E24" s="95"/>
      <c r="F24" s="95"/>
      <c r="G24" s="95"/>
      <c r="H24" s="96"/>
      <c r="I24" s="95"/>
      <c r="J24" s="97"/>
      <c r="K24" s="85"/>
      <c r="L24" s="86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2.75" customHeight="1">
      <c r="A25" s="33"/>
      <c r="B25" s="98" t="s">
        <v>24</v>
      </c>
      <c r="C25" s="98"/>
      <c r="D25" s="99">
        <f>ROUND(SUMPRODUCT('Precios  (2)'!$C$9:$C$24,'Precios  (2)'!$D$9:$D$24),2)</f>
        <v>5552256</v>
      </c>
      <c r="E25" s="99">
        <f>ROUND(SUMPRODUCT('Precios  (2)'!$C$9:$C$24,'Precios  (2)'!$E$9:$E$24),2)</f>
        <v>13931642</v>
      </c>
      <c r="F25" s="99">
        <f>ROUND(SUMPRODUCT('Precios  (2)'!$C$9:$C$24,'Precios  (2)'!$F$9:$F$24),2)</f>
        <v>8990959</v>
      </c>
      <c r="G25" s="99">
        <f>ROUND(SUMPRODUCT('Precios  (2)'!$C$9:$C$24,'Precios  (2)'!$G$9:$G$24),2)</f>
        <v>0</v>
      </c>
      <c r="H25" s="99">
        <f>ROUND(SUMPRODUCT('Precios  (2)'!$C$9:$C$24,'Precios  (2)'!$H$9:$H$24),2)</f>
        <v>0</v>
      </c>
      <c r="I25" s="99">
        <f>ROUND(SUMPRODUCT('Precios  (2)'!$C$9:$C$24,'Precios  (2)'!$I$9:$I$24),2)</f>
        <v>0</v>
      </c>
      <c r="J25" s="100"/>
      <c r="K25" s="100"/>
      <c r="L25" s="101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2.75" customHeight="1">
      <c r="A26" s="33"/>
      <c r="B26" s="5"/>
      <c r="C26" s="5"/>
      <c r="D26" s="5"/>
      <c r="E26" s="5"/>
      <c r="F26" s="5"/>
      <c r="G26" s="5"/>
      <c r="H26" s="5"/>
      <c r="I26" s="5"/>
      <c r="J26" s="5"/>
      <c r="K26" s="6"/>
      <c r="L26" s="6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2.75" customHeight="1">
      <c r="A27" s="33"/>
      <c r="B27" s="5"/>
      <c r="C27" s="5"/>
      <c r="D27" s="5"/>
      <c r="E27" s="5"/>
      <c r="F27" s="5"/>
      <c r="G27" s="5"/>
      <c r="H27" s="5"/>
      <c r="I27" s="5"/>
      <c r="J27" s="5"/>
      <c r="K27" s="6"/>
      <c r="L27" s="6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48.0" customHeight="1">
      <c r="A28" s="33"/>
      <c r="B28" s="41" t="s">
        <v>25</v>
      </c>
      <c r="C28" s="42"/>
      <c r="D28" s="43"/>
      <c r="E28" s="43"/>
      <c r="F28" s="43"/>
      <c r="G28" s="43"/>
      <c r="H28" s="4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33.0" customHeight="1">
      <c r="A29" s="33"/>
      <c r="B29" s="44" t="s">
        <v>26</v>
      </c>
      <c r="C29" s="45"/>
      <c r="D29" s="102"/>
      <c r="E29" s="50"/>
      <c r="F29" s="50"/>
      <c r="G29" s="50"/>
      <c r="H29" s="50"/>
      <c r="I29" s="50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5.5" customHeight="1">
      <c r="A30" s="33"/>
      <c r="B30" s="44" t="s">
        <v>33</v>
      </c>
      <c r="C30" s="45"/>
      <c r="D30" s="103"/>
      <c r="E30" s="53"/>
      <c r="F30" s="53"/>
      <c r="G30" s="50"/>
      <c r="H30" s="53"/>
      <c r="I30" s="5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8.0" customHeight="1">
      <c r="A31" s="33"/>
      <c r="B31" s="55" t="s">
        <v>37</v>
      </c>
      <c r="C31" s="56"/>
      <c r="D31" s="57"/>
      <c r="E31" s="58"/>
      <c r="F31" s="58"/>
      <c r="G31" s="58"/>
      <c r="H31" s="58"/>
      <c r="I31" s="58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2.75" customHeight="1">
      <c r="A32" s="33"/>
      <c r="B32" s="59"/>
      <c r="E32" s="104"/>
      <c r="F32" s="104"/>
      <c r="G32" s="104"/>
      <c r="H32" s="104"/>
      <c r="I32" s="104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2.75" customHeight="1">
      <c r="A33" s="33"/>
      <c r="B33" s="59"/>
      <c r="D33" s="60"/>
      <c r="E33" s="105"/>
      <c r="F33" s="105"/>
      <c r="G33" s="105"/>
      <c r="H33" s="105"/>
      <c r="I33" s="105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2.75" customHeight="1">
      <c r="A34" s="5"/>
      <c r="B34" s="63"/>
      <c r="C34" s="64"/>
      <c r="D34" s="106"/>
      <c r="E34" s="67"/>
      <c r="F34" s="67"/>
      <c r="G34" s="67"/>
      <c r="H34" s="67"/>
      <c r="I34" s="67"/>
      <c r="J34" s="33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6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6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68"/>
      <c r="E37" s="68"/>
      <c r="F37" s="69"/>
      <c r="G37" s="70"/>
      <c r="H37" s="71"/>
      <c r="I37" s="68"/>
      <c r="J37" s="6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68"/>
      <c r="E38" s="68"/>
      <c r="F38" s="69"/>
      <c r="G38" s="72"/>
      <c r="H38" s="71"/>
      <c r="I38" s="68"/>
      <c r="J38" s="5"/>
      <c r="K38" s="6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68"/>
      <c r="E39" s="68"/>
      <c r="F39" s="69"/>
      <c r="G39" s="72"/>
      <c r="H39" s="71"/>
      <c r="I39" s="68"/>
      <c r="J39" s="5"/>
      <c r="K39" s="6"/>
      <c r="L39" s="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68"/>
      <c r="E40" s="68"/>
      <c r="F40" s="69"/>
      <c r="G40" s="72"/>
      <c r="H40" s="71"/>
      <c r="I40" s="68"/>
      <c r="J40" s="5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68"/>
      <c r="E41" s="68"/>
      <c r="F41" s="69"/>
      <c r="G41" s="72"/>
      <c r="H41" s="71"/>
      <c r="I41" s="68"/>
      <c r="J41" s="5"/>
      <c r="K41" s="6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68"/>
      <c r="E42" s="68"/>
      <c r="F42" s="69"/>
      <c r="G42" s="72"/>
      <c r="H42" s="71"/>
      <c r="I42" s="68"/>
      <c r="J42" s="5"/>
      <c r="K42" s="6"/>
      <c r="L42" s="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6"/>
      <c r="L43" s="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6"/>
      <c r="L44" s="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6"/>
      <c r="L45" s="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6"/>
      <c r="L47" s="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6"/>
      <c r="L50" s="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6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6"/>
      <c r="L53" s="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6"/>
      <c r="L54" s="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6"/>
      <c r="L56" s="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6"/>
      <c r="L57" s="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6"/>
      <c r="L59" s="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6"/>
      <c r="L60" s="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6"/>
      <c r="L61" s="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6"/>
      <c r="L62" s="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6"/>
      <c r="L64" s="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6"/>
      <c r="L65" s="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6"/>
      <c r="L67" s="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6"/>
      <c r="L221" s="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6"/>
      <c r="L222" s="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6"/>
      <c r="L223" s="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6"/>
      <c r="L224" s="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6"/>
      <c r="L225" s="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6"/>
      <c r="L226" s="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6"/>
      <c r="L227" s="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6"/>
      <c r="L228" s="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6"/>
      <c r="L229" s="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6"/>
      <c r="L230" s="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6"/>
      <c r="L231" s="6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6"/>
      <c r="L232" s="6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6"/>
      <c r="L233" s="6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6"/>
      <c r="L234" s="6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6"/>
      <c r="L235" s="6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6"/>
      <c r="L236" s="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6"/>
      <c r="L237" s="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6"/>
      <c r="L238" s="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6"/>
      <c r="L239" s="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6"/>
      <c r="L240" s="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6"/>
      <c r="L241" s="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6"/>
      <c r="L242" s="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6"/>
      <c r="L243" s="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6"/>
      <c r="L244" s="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6"/>
      <c r="L245" s="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6"/>
      <c r="L246" s="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6"/>
      <c r="L247" s="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6"/>
      <c r="L248" s="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6"/>
      <c r="L249" s="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6"/>
      <c r="L250" s="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6"/>
      <c r="L251" s="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6"/>
      <c r="L252" s="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6"/>
      <c r="L253" s="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6"/>
      <c r="L254" s="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6"/>
      <c r="L255" s="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6"/>
      <c r="L256" s="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6"/>
      <c r="L257" s="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6"/>
      <c r="L258" s="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6"/>
      <c r="L259" s="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6"/>
      <c r="L260" s="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6"/>
      <c r="L261" s="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6"/>
      <c r="L262" s="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6"/>
      <c r="L263" s="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6"/>
      <c r="L264" s="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6"/>
      <c r="L265" s="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6"/>
      <c r="L266" s="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6"/>
      <c r="L267" s="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6"/>
      <c r="L268" s="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6"/>
      <c r="L269" s="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6"/>
      <c r="L270" s="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6"/>
      <c r="L271" s="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6"/>
      <c r="L272" s="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6"/>
      <c r="L273" s="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6"/>
      <c r="L274" s="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6"/>
      <c r="L275" s="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6"/>
      <c r="L276" s="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6"/>
      <c r="L277" s="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6"/>
      <c r="L278" s="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6"/>
      <c r="L279" s="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6"/>
      <c r="L280" s="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6"/>
      <c r="L281" s="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6"/>
      <c r="L282" s="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6"/>
      <c r="L283" s="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6"/>
      <c r="L284" s="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6"/>
      <c r="L285" s="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6"/>
      <c r="L286" s="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6"/>
      <c r="L287" s="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6"/>
      <c r="L288" s="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6"/>
      <c r="L289" s="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6"/>
      <c r="L290" s="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6"/>
      <c r="L291" s="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6"/>
      <c r="L292" s="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6"/>
      <c r="L293" s="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6"/>
      <c r="L294" s="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6"/>
      <c r="L295" s="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6"/>
      <c r="L296" s="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6"/>
      <c r="L297" s="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6"/>
      <c r="L298" s="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6"/>
      <c r="L299" s="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6"/>
      <c r="L300" s="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6"/>
      <c r="L301" s="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6"/>
      <c r="L302" s="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6"/>
      <c r="L303" s="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6"/>
      <c r="L304" s="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6"/>
      <c r="L305" s="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6"/>
      <c r="L306" s="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6"/>
      <c r="L307" s="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6"/>
      <c r="L308" s="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6"/>
      <c r="L309" s="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6"/>
      <c r="L310" s="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6"/>
      <c r="L311" s="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6"/>
      <c r="L312" s="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6"/>
      <c r="L313" s="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6"/>
      <c r="L314" s="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6"/>
      <c r="L315" s="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6"/>
      <c r="L316" s="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6"/>
      <c r="L317" s="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6"/>
      <c r="L318" s="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6"/>
      <c r="L319" s="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6"/>
      <c r="L320" s="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6"/>
      <c r="L321" s="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6"/>
      <c r="L322" s="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6"/>
      <c r="L323" s="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6"/>
      <c r="L324" s="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6"/>
      <c r="L325" s="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6"/>
      <c r="L326" s="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6"/>
      <c r="L327" s="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6"/>
      <c r="L328" s="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6"/>
      <c r="L329" s="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6"/>
      <c r="L330" s="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6"/>
      <c r="L331" s="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6"/>
      <c r="L332" s="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6"/>
      <c r="L333" s="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6"/>
      <c r="L334" s="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6"/>
      <c r="L335" s="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6"/>
      <c r="L336" s="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6"/>
      <c r="L337" s="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6"/>
      <c r="L338" s="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6"/>
      <c r="L339" s="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6"/>
      <c r="L340" s="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6"/>
      <c r="L341" s="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6"/>
      <c r="L342" s="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6"/>
      <c r="L343" s="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6"/>
      <c r="L344" s="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6"/>
      <c r="L345" s="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6"/>
      <c r="L346" s="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6"/>
      <c r="L347" s="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6"/>
      <c r="L348" s="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6"/>
      <c r="L349" s="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6"/>
      <c r="L350" s="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6"/>
      <c r="L351" s="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6"/>
      <c r="L352" s="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6"/>
      <c r="L353" s="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6"/>
      <c r="L354" s="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6"/>
      <c r="L355" s="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6"/>
      <c r="L356" s="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6"/>
      <c r="L357" s="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6"/>
      <c r="L358" s="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6"/>
      <c r="L359" s="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6"/>
      <c r="L360" s="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6"/>
      <c r="L361" s="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6"/>
      <c r="L362" s="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6"/>
      <c r="L363" s="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6"/>
      <c r="L364" s="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6"/>
      <c r="L365" s="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6"/>
      <c r="L366" s="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6"/>
      <c r="L367" s="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6"/>
      <c r="L368" s="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6"/>
      <c r="L369" s="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6"/>
      <c r="L370" s="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6"/>
      <c r="L371" s="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6"/>
      <c r="L372" s="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6"/>
      <c r="L373" s="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6"/>
      <c r="L374" s="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6"/>
      <c r="L375" s="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6"/>
      <c r="L376" s="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6"/>
      <c r="L377" s="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6"/>
      <c r="L378" s="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6"/>
      <c r="L379" s="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6"/>
      <c r="L380" s="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6"/>
      <c r="L381" s="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6"/>
      <c r="L382" s="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6"/>
      <c r="L383" s="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6"/>
      <c r="L384" s="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6"/>
      <c r="L385" s="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6"/>
      <c r="L386" s="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6"/>
      <c r="L387" s="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6"/>
      <c r="L388" s="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6"/>
      <c r="L389" s="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6"/>
      <c r="L390" s="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6"/>
      <c r="L391" s="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6"/>
      <c r="L392" s="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6"/>
      <c r="L393" s="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6"/>
      <c r="L394" s="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6"/>
      <c r="L395" s="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6"/>
      <c r="L396" s="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6"/>
      <c r="L397" s="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6"/>
      <c r="L398" s="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6"/>
      <c r="L399" s="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6"/>
      <c r="L400" s="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6"/>
      <c r="L401" s="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6"/>
      <c r="L402" s="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6"/>
      <c r="L403" s="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6"/>
      <c r="L404" s="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6"/>
      <c r="L405" s="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6"/>
      <c r="L406" s="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6"/>
      <c r="L407" s="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6"/>
      <c r="L408" s="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6"/>
      <c r="L409" s="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6"/>
      <c r="L410" s="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6"/>
      <c r="L411" s="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6"/>
      <c r="L412" s="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6"/>
      <c r="L413" s="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6"/>
      <c r="L414" s="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6"/>
      <c r="L415" s="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6"/>
      <c r="L416" s="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6"/>
      <c r="L417" s="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6"/>
      <c r="L418" s="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6"/>
      <c r="L419" s="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6"/>
      <c r="L420" s="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6"/>
      <c r="L421" s="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6"/>
      <c r="L422" s="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6"/>
      <c r="L423" s="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6"/>
      <c r="L424" s="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6"/>
      <c r="L425" s="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6"/>
      <c r="L426" s="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6"/>
      <c r="L427" s="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6"/>
      <c r="L428" s="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6"/>
      <c r="L429" s="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6"/>
      <c r="L430" s="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6"/>
      <c r="L431" s="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6"/>
      <c r="L432" s="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6"/>
      <c r="L433" s="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6"/>
      <c r="L434" s="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6"/>
      <c r="L435" s="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6"/>
      <c r="L436" s="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6"/>
      <c r="L437" s="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6"/>
      <c r="L438" s="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6"/>
      <c r="L439" s="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6"/>
      <c r="L440" s="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6"/>
      <c r="L441" s="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6"/>
      <c r="L442" s="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6"/>
      <c r="L443" s="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6"/>
      <c r="L444" s="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6"/>
      <c r="L445" s="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6"/>
      <c r="L446" s="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6"/>
      <c r="L447" s="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6"/>
      <c r="L448" s="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6"/>
      <c r="L449" s="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6"/>
      <c r="L450" s="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6"/>
      <c r="L451" s="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6"/>
      <c r="L452" s="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6"/>
      <c r="L453" s="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6"/>
      <c r="L454" s="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6"/>
      <c r="L455" s="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6"/>
      <c r="L456" s="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6"/>
      <c r="L457" s="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6"/>
      <c r="L458" s="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6"/>
      <c r="L459" s="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6"/>
      <c r="L460" s="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6"/>
      <c r="L461" s="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6"/>
      <c r="L462" s="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6"/>
      <c r="L463" s="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6"/>
      <c r="L464" s="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6"/>
      <c r="L465" s="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6"/>
      <c r="L466" s="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6"/>
      <c r="L467" s="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6"/>
      <c r="L468" s="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6"/>
      <c r="L469" s="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6"/>
      <c r="L470" s="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6"/>
      <c r="L471" s="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6"/>
      <c r="L472" s="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6"/>
      <c r="L473" s="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6"/>
      <c r="L474" s="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6"/>
      <c r="L475" s="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6"/>
      <c r="L476" s="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6"/>
      <c r="L477" s="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6"/>
      <c r="L478" s="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6"/>
      <c r="L479" s="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6"/>
      <c r="L480" s="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6"/>
      <c r="L481" s="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6"/>
      <c r="L482" s="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6"/>
      <c r="L483" s="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6"/>
      <c r="L484" s="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6"/>
      <c r="L485" s="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6"/>
      <c r="L486" s="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6"/>
      <c r="L487" s="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6"/>
      <c r="L488" s="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6"/>
      <c r="L489" s="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6"/>
      <c r="L490" s="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6"/>
      <c r="L491" s="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6"/>
      <c r="L492" s="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6"/>
      <c r="L493" s="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6"/>
      <c r="L494" s="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6"/>
      <c r="L495" s="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6"/>
      <c r="L496" s="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6"/>
      <c r="L497" s="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6"/>
      <c r="L498" s="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6"/>
      <c r="L499" s="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6"/>
      <c r="L500" s="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6"/>
      <c r="L501" s="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6"/>
      <c r="L502" s="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6"/>
      <c r="L503" s="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6"/>
      <c r="L504" s="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6"/>
      <c r="L505" s="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6"/>
      <c r="L506" s="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6"/>
      <c r="L507" s="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6"/>
      <c r="L508" s="6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6"/>
      <c r="L509" s="6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6"/>
      <c r="L510" s="6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6"/>
      <c r="L511" s="6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6"/>
      <c r="L512" s="6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6"/>
      <c r="L513" s="6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6"/>
      <c r="L514" s="6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6"/>
      <c r="L515" s="6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6"/>
      <c r="L516" s="6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6"/>
      <c r="L517" s="6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6"/>
      <c r="L518" s="6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6"/>
      <c r="L519" s="6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6"/>
      <c r="L520" s="6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6"/>
      <c r="L521" s="6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6"/>
      <c r="L522" s="6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6"/>
      <c r="L523" s="6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6"/>
      <c r="L524" s="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6"/>
      <c r="L525" s="6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6"/>
      <c r="L526" s="6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6"/>
      <c r="L527" s="6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6"/>
      <c r="L528" s="6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6"/>
      <c r="L529" s="6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6"/>
      <c r="L530" s="6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6"/>
      <c r="L531" s="6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6"/>
      <c r="L532" s="6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6"/>
      <c r="L533" s="6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6"/>
      <c r="L534" s="6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6"/>
      <c r="L535" s="6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6"/>
      <c r="L536" s="6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6"/>
      <c r="L537" s="6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6"/>
      <c r="L538" s="6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6"/>
      <c r="L539" s="6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6"/>
      <c r="L540" s="6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6"/>
      <c r="L541" s="6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6"/>
      <c r="L542" s="6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6"/>
      <c r="L543" s="6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6"/>
      <c r="L544" s="6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6"/>
      <c r="L545" s="6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6"/>
      <c r="L546" s="6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6"/>
      <c r="L547" s="6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6"/>
      <c r="L548" s="6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6"/>
      <c r="L549" s="6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6"/>
      <c r="L550" s="6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6"/>
      <c r="L551" s="6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6"/>
      <c r="L552" s="6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6"/>
      <c r="L553" s="6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6"/>
      <c r="L554" s="6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6"/>
      <c r="L555" s="6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6"/>
      <c r="L556" s="6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6"/>
      <c r="L557" s="6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6"/>
      <c r="L558" s="6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6"/>
      <c r="L559" s="6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6"/>
      <c r="L560" s="6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6"/>
      <c r="L561" s="6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6"/>
      <c r="L562" s="6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6"/>
      <c r="L563" s="6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6"/>
      <c r="L564" s="6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6"/>
      <c r="L565" s="6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6"/>
      <c r="L566" s="6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6"/>
      <c r="L567" s="6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6"/>
      <c r="L568" s="6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6"/>
      <c r="L569" s="6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6"/>
      <c r="L570" s="6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6"/>
      <c r="L571" s="6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6"/>
      <c r="L572" s="6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6"/>
      <c r="L573" s="6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6"/>
      <c r="L574" s="6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6"/>
      <c r="L575" s="6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6"/>
      <c r="L576" s="6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6"/>
      <c r="L577" s="6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6"/>
      <c r="L578" s="6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6"/>
      <c r="L579" s="6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6"/>
      <c r="L580" s="6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6"/>
      <c r="L581" s="6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6"/>
      <c r="L582" s="6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6"/>
      <c r="L583" s="6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6"/>
      <c r="L584" s="6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6"/>
      <c r="L585" s="6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6"/>
      <c r="L586" s="6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6"/>
      <c r="L587" s="6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6"/>
      <c r="L588" s="6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6"/>
      <c r="L589" s="6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6"/>
      <c r="L590" s="6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6"/>
      <c r="L591" s="6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6"/>
      <c r="L592" s="6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6"/>
      <c r="L593" s="6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6"/>
      <c r="L594" s="6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6"/>
      <c r="L595" s="6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6"/>
      <c r="L596" s="6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6"/>
      <c r="L597" s="6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6"/>
      <c r="L598" s="6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6"/>
      <c r="L599" s="6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6"/>
      <c r="L600" s="6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6"/>
      <c r="L601" s="6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6"/>
      <c r="L602" s="6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6"/>
      <c r="L603" s="6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6"/>
      <c r="L604" s="6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6"/>
      <c r="L605" s="6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6"/>
      <c r="L606" s="6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6"/>
      <c r="L607" s="6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6"/>
      <c r="L608" s="6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6"/>
      <c r="L609" s="6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6"/>
      <c r="L610" s="6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6"/>
      <c r="L611" s="6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6"/>
      <c r="L612" s="6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6"/>
      <c r="L613" s="6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6"/>
      <c r="L614" s="6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6"/>
      <c r="L615" s="6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6"/>
      <c r="L616" s="6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6"/>
      <c r="L617" s="6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6"/>
      <c r="L618" s="6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6"/>
      <c r="L619" s="6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6"/>
      <c r="L620" s="6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6"/>
      <c r="L621" s="6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6"/>
      <c r="L622" s="6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6"/>
      <c r="L623" s="6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6"/>
      <c r="L624" s="6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6"/>
      <c r="L625" s="6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6"/>
      <c r="L626" s="6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6"/>
      <c r="L627" s="6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6"/>
      <c r="L628" s="6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6"/>
      <c r="L629" s="6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6"/>
      <c r="L630" s="6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6"/>
      <c r="L631" s="6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6"/>
      <c r="L632" s="6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6"/>
      <c r="L633" s="6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6"/>
      <c r="L634" s="6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6"/>
      <c r="L635" s="6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6"/>
      <c r="L636" s="6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6"/>
      <c r="L637" s="6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6"/>
      <c r="L638" s="6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6"/>
      <c r="L639" s="6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6"/>
      <c r="L640" s="6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6"/>
      <c r="L641" s="6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6"/>
      <c r="L642" s="6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6"/>
      <c r="L643" s="6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6"/>
      <c r="L644" s="6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6"/>
      <c r="L645" s="6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6"/>
      <c r="L646" s="6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6"/>
      <c r="L647" s="6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6"/>
      <c r="L648" s="6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6"/>
      <c r="L649" s="6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6"/>
      <c r="L650" s="6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6"/>
      <c r="L651" s="6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6"/>
      <c r="L652" s="6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6"/>
      <c r="L653" s="6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6"/>
      <c r="L654" s="6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6"/>
      <c r="L655" s="6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6"/>
      <c r="L656" s="6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6"/>
      <c r="L657" s="6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6"/>
      <c r="L658" s="6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6"/>
      <c r="L659" s="6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6"/>
      <c r="L660" s="6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6"/>
      <c r="L661" s="6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6"/>
      <c r="L662" s="6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6"/>
      <c r="L663" s="6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6"/>
      <c r="L664" s="6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6"/>
      <c r="L665" s="6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6"/>
      <c r="L666" s="6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6"/>
      <c r="L667" s="6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6"/>
      <c r="L668" s="6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6"/>
      <c r="L669" s="6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6"/>
      <c r="L670" s="6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6"/>
      <c r="L671" s="6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6"/>
      <c r="L672" s="6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6"/>
      <c r="L673" s="6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6"/>
      <c r="L674" s="6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6"/>
      <c r="L675" s="6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6"/>
      <c r="L676" s="6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6"/>
      <c r="L677" s="6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6"/>
      <c r="L678" s="6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6"/>
      <c r="L679" s="6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6"/>
      <c r="L680" s="6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6"/>
      <c r="L681" s="6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6"/>
      <c r="L682" s="6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6"/>
      <c r="L683" s="6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6"/>
      <c r="L684" s="6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6"/>
      <c r="L685" s="6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6"/>
      <c r="L686" s="6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6"/>
      <c r="L687" s="6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6"/>
      <c r="L688" s="6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6"/>
      <c r="L689" s="6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6"/>
      <c r="L690" s="6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6"/>
      <c r="L691" s="6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6"/>
      <c r="L692" s="6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6"/>
      <c r="L693" s="6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6"/>
      <c r="L694" s="6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6"/>
      <c r="L695" s="6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6"/>
      <c r="L696" s="6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6"/>
      <c r="L697" s="6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6"/>
      <c r="L698" s="6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6"/>
      <c r="L699" s="6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6"/>
      <c r="L700" s="6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6"/>
      <c r="L701" s="6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6"/>
      <c r="L702" s="6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6"/>
      <c r="L703" s="6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6"/>
      <c r="L704" s="6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6"/>
      <c r="L705" s="6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6"/>
      <c r="L706" s="6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6"/>
      <c r="L707" s="6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6"/>
      <c r="L708" s="6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6"/>
      <c r="L709" s="6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6"/>
      <c r="L710" s="6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6"/>
      <c r="L711" s="6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6"/>
      <c r="L712" s="6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6"/>
      <c r="L713" s="6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6"/>
      <c r="L714" s="6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6"/>
      <c r="L715" s="6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6"/>
      <c r="L716" s="6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6"/>
      <c r="L717" s="6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6"/>
      <c r="L718" s="6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6"/>
      <c r="L719" s="6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6"/>
      <c r="L720" s="6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6"/>
      <c r="L721" s="6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6"/>
      <c r="L722" s="6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6"/>
      <c r="L723" s="6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6"/>
      <c r="L724" s="6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6"/>
      <c r="L725" s="6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6"/>
      <c r="L726" s="6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6"/>
      <c r="L727" s="6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6"/>
      <c r="L728" s="6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6"/>
      <c r="L729" s="6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6"/>
      <c r="L730" s="6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6"/>
      <c r="L731" s="6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6"/>
      <c r="L732" s="6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6"/>
      <c r="L733" s="6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6"/>
      <c r="L734" s="6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6"/>
      <c r="L735" s="6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6"/>
      <c r="L736" s="6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6"/>
      <c r="L737" s="6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6"/>
      <c r="L738" s="6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6"/>
      <c r="L739" s="6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6"/>
      <c r="L740" s="6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6"/>
      <c r="L741" s="6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6"/>
      <c r="L742" s="6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6"/>
      <c r="L743" s="6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6"/>
      <c r="L744" s="6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6"/>
      <c r="L745" s="6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6"/>
      <c r="L746" s="6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6"/>
      <c r="L747" s="6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6"/>
      <c r="L748" s="6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6"/>
      <c r="L749" s="6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6"/>
      <c r="L750" s="6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6"/>
      <c r="L751" s="6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6"/>
      <c r="L752" s="6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6"/>
      <c r="L753" s="6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6"/>
      <c r="L754" s="6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6"/>
      <c r="L755" s="6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6"/>
      <c r="L756" s="6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6"/>
      <c r="L757" s="6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6"/>
      <c r="L758" s="6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6"/>
      <c r="L759" s="6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6"/>
      <c r="L760" s="6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6"/>
      <c r="L761" s="6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6"/>
      <c r="L762" s="6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6"/>
      <c r="L763" s="6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6"/>
      <c r="L764" s="6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6"/>
      <c r="L765" s="6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6"/>
      <c r="L766" s="6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6"/>
      <c r="L767" s="6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6"/>
      <c r="L768" s="6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6"/>
      <c r="L769" s="6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6"/>
      <c r="L770" s="6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6"/>
      <c r="L771" s="6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6"/>
      <c r="L772" s="6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6"/>
      <c r="L773" s="6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6"/>
      <c r="L774" s="6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6"/>
      <c r="L775" s="6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6"/>
      <c r="L776" s="6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6"/>
      <c r="L777" s="6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6"/>
      <c r="L778" s="6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6"/>
      <c r="L779" s="6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6"/>
      <c r="L780" s="6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6"/>
      <c r="L781" s="6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6"/>
      <c r="L782" s="6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6"/>
      <c r="L783" s="6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6"/>
      <c r="L784" s="6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6"/>
      <c r="L785" s="6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6"/>
      <c r="L786" s="6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6"/>
      <c r="L787" s="6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6"/>
      <c r="L788" s="6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6"/>
      <c r="L789" s="6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6"/>
      <c r="L790" s="6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6"/>
      <c r="L791" s="6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6"/>
      <c r="L792" s="6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6"/>
      <c r="L793" s="6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6"/>
      <c r="L794" s="6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6"/>
      <c r="L795" s="6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6"/>
      <c r="L796" s="6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6"/>
      <c r="L797" s="6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6"/>
      <c r="L798" s="6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6"/>
      <c r="L799" s="6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6"/>
      <c r="L800" s="6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6"/>
      <c r="L801" s="6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6"/>
      <c r="L802" s="6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6"/>
      <c r="L803" s="6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6"/>
      <c r="L804" s="6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6"/>
      <c r="L805" s="6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6"/>
      <c r="L806" s="6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6"/>
      <c r="L807" s="6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6"/>
      <c r="L808" s="6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6"/>
      <c r="L809" s="6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6"/>
      <c r="L810" s="6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6"/>
      <c r="L811" s="6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6"/>
      <c r="L812" s="6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6"/>
      <c r="L813" s="6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6"/>
      <c r="L814" s="6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6"/>
      <c r="L815" s="6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6"/>
      <c r="L816" s="6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6"/>
      <c r="L817" s="6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6"/>
      <c r="L818" s="6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6"/>
      <c r="L819" s="6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6"/>
      <c r="L820" s="6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6"/>
      <c r="L821" s="6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6"/>
      <c r="L822" s="6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6"/>
      <c r="L823" s="6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6"/>
      <c r="L824" s="6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6"/>
      <c r="L825" s="6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6"/>
      <c r="L826" s="6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6"/>
      <c r="L827" s="6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6"/>
      <c r="L828" s="6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6"/>
      <c r="L829" s="6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6"/>
      <c r="L830" s="6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6"/>
      <c r="L831" s="6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6"/>
      <c r="L832" s="6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6"/>
      <c r="L833" s="6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6"/>
      <c r="L834" s="6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6"/>
      <c r="L835" s="6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6"/>
      <c r="L836" s="6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6"/>
      <c r="L837" s="6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6"/>
      <c r="L838" s="6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6"/>
      <c r="L839" s="6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6"/>
      <c r="L840" s="6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6"/>
      <c r="L841" s="6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6"/>
      <c r="L842" s="6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6"/>
      <c r="L843" s="6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6"/>
      <c r="L844" s="6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6"/>
      <c r="L845" s="6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6"/>
      <c r="L846" s="6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6"/>
      <c r="L847" s="6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6"/>
      <c r="L848" s="6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6"/>
      <c r="L849" s="6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6"/>
      <c r="L850" s="6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6"/>
      <c r="L851" s="6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6"/>
      <c r="L852" s="6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6"/>
      <c r="L853" s="6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6"/>
      <c r="L854" s="6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6"/>
      <c r="L855" s="6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6"/>
      <c r="L856" s="6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6"/>
      <c r="L857" s="6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6"/>
      <c r="L858" s="6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6"/>
      <c r="L859" s="6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6"/>
      <c r="L860" s="6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6"/>
      <c r="L861" s="6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6"/>
      <c r="L862" s="6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6"/>
      <c r="L863" s="6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6"/>
      <c r="L864" s="6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6"/>
      <c r="L865" s="6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6"/>
      <c r="L866" s="6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6"/>
      <c r="L867" s="6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6"/>
      <c r="L868" s="6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6"/>
      <c r="L869" s="6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6"/>
      <c r="L870" s="6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6"/>
      <c r="L871" s="6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6"/>
      <c r="L872" s="6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6"/>
      <c r="L873" s="6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6"/>
      <c r="L874" s="6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6"/>
      <c r="L875" s="6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6"/>
      <c r="L876" s="6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6"/>
      <c r="L877" s="6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6"/>
      <c r="L878" s="6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6"/>
      <c r="L879" s="6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6"/>
      <c r="L880" s="6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6"/>
      <c r="L881" s="6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6"/>
      <c r="L882" s="6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6"/>
      <c r="L883" s="6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6"/>
      <c r="L884" s="6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6"/>
      <c r="L885" s="6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6"/>
      <c r="L886" s="6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6"/>
      <c r="L887" s="6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6"/>
      <c r="L888" s="6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6"/>
      <c r="L889" s="6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6"/>
      <c r="L890" s="6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6"/>
      <c r="L891" s="6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6"/>
      <c r="L892" s="6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6"/>
      <c r="L893" s="6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6"/>
      <c r="L894" s="6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6"/>
      <c r="L895" s="6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6"/>
      <c r="L896" s="6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6"/>
      <c r="L897" s="6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6"/>
      <c r="L898" s="6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6"/>
      <c r="L899" s="6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6"/>
      <c r="L900" s="6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6"/>
      <c r="L901" s="6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6"/>
      <c r="L902" s="6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6"/>
      <c r="L903" s="6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6"/>
      <c r="L904" s="6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6"/>
      <c r="L905" s="6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6"/>
      <c r="L906" s="6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6"/>
      <c r="L907" s="6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6"/>
      <c r="L908" s="6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6"/>
      <c r="L909" s="6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6"/>
      <c r="L910" s="6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6"/>
      <c r="L911" s="6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6"/>
      <c r="L912" s="6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6"/>
      <c r="L913" s="6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6"/>
      <c r="L914" s="6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6"/>
      <c r="L915" s="6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6"/>
      <c r="L916" s="6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6"/>
      <c r="L917" s="6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6"/>
      <c r="L918" s="6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6"/>
      <c r="L919" s="6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6"/>
      <c r="L920" s="6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6"/>
      <c r="L921" s="6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6"/>
      <c r="L922" s="6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6"/>
      <c r="L923" s="6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6"/>
      <c r="L924" s="6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6"/>
      <c r="L925" s="6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6"/>
      <c r="L926" s="6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6"/>
      <c r="L927" s="6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6"/>
      <c r="L928" s="6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6"/>
      <c r="L929" s="6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6"/>
      <c r="L930" s="6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6"/>
      <c r="L931" s="6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6"/>
      <c r="L932" s="6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6"/>
      <c r="L933" s="6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6"/>
      <c r="L934" s="6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6"/>
      <c r="L935" s="6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6"/>
      <c r="L936" s="6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6"/>
      <c r="L937" s="6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6"/>
      <c r="L938" s="6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6"/>
      <c r="L939" s="6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6"/>
      <c r="L940" s="6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6"/>
      <c r="L941" s="6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6"/>
      <c r="L942" s="6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6"/>
      <c r="L943" s="6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6"/>
      <c r="L944" s="6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6"/>
      <c r="L945" s="6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6"/>
      <c r="L946" s="6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6"/>
      <c r="L947" s="6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6"/>
      <c r="L948" s="6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6"/>
      <c r="L949" s="6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6"/>
      <c r="L950" s="6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6"/>
      <c r="L951" s="6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6"/>
      <c r="L952" s="6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6"/>
      <c r="L953" s="6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6"/>
      <c r="L954" s="6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6"/>
      <c r="L955" s="6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6"/>
      <c r="L956" s="6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6"/>
      <c r="L957" s="6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6"/>
      <c r="L958" s="6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6"/>
      <c r="L959" s="6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6"/>
      <c r="L960" s="6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6"/>
      <c r="L961" s="6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6"/>
      <c r="L962" s="6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6"/>
      <c r="L963" s="6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6"/>
      <c r="L964" s="6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6"/>
      <c r="L965" s="6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6"/>
      <c r="L966" s="6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6"/>
      <c r="L967" s="6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6"/>
      <c r="L968" s="6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6"/>
      <c r="L969" s="6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6"/>
      <c r="L970" s="6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6"/>
      <c r="L971" s="6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6"/>
      <c r="L972" s="6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6"/>
      <c r="L973" s="6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6"/>
      <c r="L974" s="6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6"/>
      <c r="L975" s="6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6"/>
      <c r="L976" s="6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6"/>
      <c r="L977" s="6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6"/>
      <c r="L978" s="6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6"/>
      <c r="L979" s="6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6"/>
      <c r="L980" s="6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6"/>
      <c r="L981" s="6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6"/>
      <c r="L982" s="6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6"/>
      <c r="L983" s="6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6"/>
      <c r="L984" s="6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6"/>
      <c r="L985" s="6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6"/>
      <c r="L986" s="6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6"/>
      <c r="L987" s="6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6"/>
      <c r="L988" s="6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6"/>
      <c r="L989" s="6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6"/>
      <c r="L990" s="6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6"/>
      <c r="L991" s="6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6"/>
      <c r="L992" s="6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6"/>
      <c r="L993" s="6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6"/>
      <c r="L994" s="6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6"/>
      <c r="L995" s="6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6"/>
      <c r="L996" s="6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6"/>
      <c r="L997" s="6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6"/>
      <c r="L998" s="6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6"/>
      <c r="L999" s="6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6"/>
      <c r="L1000" s="6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J7:L7"/>
    <mergeCell ref="B28:C28"/>
    <mergeCell ref="B29:C29"/>
    <mergeCell ref="B30:C30"/>
    <mergeCell ref="B31:C34"/>
  </mergeCells>
  <conditionalFormatting sqref="B8:C8">
    <cfRule type="expression" dxfId="0" priority="1">
      <formula>AND(B$25=MIN($D$25:$I$25),B$25&lt;&gt;0)</formula>
    </cfRule>
  </conditionalFormatting>
  <conditionalFormatting sqref="D8:I8 D25:I25">
    <cfRule type="expression" dxfId="0" priority="2">
      <formula>AND(D$25=MIN($D$25:$I$25),D$25&lt;&gt;0)</formula>
    </cfRule>
  </conditionalFormatting>
  <conditionalFormatting sqref="D9:I24">
    <cfRule type="expression" dxfId="1" priority="3">
      <formula>AND(D$25=MIN($D$25:$I$25),D$25&lt;&gt;0)</formula>
    </cfRule>
  </conditionalFormatting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2.0"/>
    <col customWidth="1" min="2" max="2" width="19.83"/>
    <col customWidth="1" min="3" max="3" width="12.0"/>
    <col customWidth="1" min="4" max="9" width="18.5"/>
    <col customWidth="1" min="10" max="26" width="12.0"/>
  </cols>
  <sheetData>
    <row r="1" ht="11.25" customHeight="1"/>
    <row r="2" ht="11.25" customHeight="1"/>
    <row r="3" ht="11.25" customHeight="1"/>
    <row r="4" ht="11.25" customHeight="1"/>
    <row r="5" ht="11.25" customHeight="1"/>
    <row r="6" ht="11.25" customHeight="1"/>
    <row r="7" ht="11.25" customHeight="1">
      <c r="B7" s="107" t="s">
        <v>51</v>
      </c>
      <c r="C7" s="108">
        <v>1.0</v>
      </c>
      <c r="D7" s="107">
        <v>498.0</v>
      </c>
      <c r="E7" s="107">
        <v>420.0</v>
      </c>
      <c r="F7" s="107">
        <v>450.0</v>
      </c>
      <c r="G7" s="107">
        <v>230.0</v>
      </c>
      <c r="H7" s="107">
        <v>600.0</v>
      </c>
      <c r="I7" s="107">
        <v>520.0</v>
      </c>
    </row>
    <row r="8" ht="11.25" customHeight="1">
      <c r="B8" s="107" t="s">
        <v>52</v>
      </c>
      <c r="C8" s="108">
        <v>2.0</v>
      </c>
      <c r="D8" s="107">
        <v>450.0</v>
      </c>
      <c r="E8" s="107">
        <v>220.0</v>
      </c>
      <c r="F8" s="107">
        <v>405.0</v>
      </c>
      <c r="G8" s="107">
        <v>495.0</v>
      </c>
      <c r="H8" s="107">
        <v>540.0</v>
      </c>
      <c r="I8" s="107">
        <v>200.0</v>
      </c>
    </row>
    <row r="9" ht="11.25" customHeight="1">
      <c r="B9" s="107" t="s">
        <v>53</v>
      </c>
      <c r="C9" s="108">
        <v>2.0</v>
      </c>
      <c r="D9" s="107">
        <v>650.0</v>
      </c>
      <c r="E9" s="107">
        <v>620.0</v>
      </c>
      <c r="F9" s="107">
        <v>666.0</v>
      </c>
      <c r="G9" s="107">
        <v>400.0</v>
      </c>
      <c r="H9" s="107">
        <v>648.0</v>
      </c>
      <c r="I9" s="107">
        <v>452.4</v>
      </c>
    </row>
    <row r="10" ht="11.25" customHeight="1">
      <c r="B10" s="107" t="s">
        <v>54</v>
      </c>
      <c r="C10" s="108">
        <v>1.0</v>
      </c>
      <c r="D10" s="107">
        <v>585.0</v>
      </c>
      <c r="E10" s="107">
        <v>558.0</v>
      </c>
      <c r="F10" s="107">
        <v>320.0</v>
      </c>
      <c r="G10" s="107">
        <v>360.0</v>
      </c>
      <c r="H10" s="107">
        <v>583.2</v>
      </c>
      <c r="I10" s="107">
        <v>407.16</v>
      </c>
    </row>
    <row r="11" ht="11.25" customHeight="1">
      <c r="B11" s="107" t="s">
        <v>55</v>
      </c>
      <c r="C11" s="108">
        <v>3.0</v>
      </c>
      <c r="D11" s="107">
        <v>526.5</v>
      </c>
      <c r="E11" s="107">
        <v>502.2</v>
      </c>
      <c r="F11" s="107">
        <v>539.46</v>
      </c>
      <c r="G11" s="107">
        <v>300.0</v>
      </c>
      <c r="H11" s="107">
        <v>500.0</v>
      </c>
      <c r="I11" s="107">
        <v>366.44</v>
      </c>
    </row>
    <row r="12" ht="11.25" customHeight="1">
      <c r="B12" s="107" t="s">
        <v>56</v>
      </c>
      <c r="C12" s="108">
        <v>1.0</v>
      </c>
      <c r="D12" s="107">
        <v>473.8</v>
      </c>
      <c r="E12" s="107">
        <v>200.0</v>
      </c>
      <c r="F12" s="107">
        <v>485.51</v>
      </c>
      <c r="G12" s="107">
        <v>291.6</v>
      </c>
      <c r="H12" s="107">
        <v>270.0</v>
      </c>
      <c r="I12" s="107">
        <v>220.0</v>
      </c>
    </row>
    <row r="13" ht="11.25" customHeight="1"/>
    <row r="14" ht="11.25" customHeight="1"/>
    <row r="15" ht="11.25" customHeight="1"/>
    <row r="16" ht="11.25" customHeight="1"/>
    <row r="17" ht="11.25" customHeight="1"/>
    <row r="18" ht="11.25" customHeight="1"/>
    <row r="19" ht="11.25" customHeight="1">
      <c r="D19" s="102">
        <v>30.0</v>
      </c>
      <c r="E19" s="50">
        <v>10.0</v>
      </c>
      <c r="F19" s="50">
        <v>15.0</v>
      </c>
      <c r="G19" s="50">
        <v>15.0</v>
      </c>
      <c r="H19" s="50">
        <v>15.0</v>
      </c>
      <c r="I19" s="50">
        <v>10.0</v>
      </c>
    </row>
    <row r="20" ht="11.25" customHeight="1">
      <c r="D20" s="103">
        <v>10.0</v>
      </c>
      <c r="E20" s="53">
        <v>10.0</v>
      </c>
      <c r="F20" s="53">
        <v>10.0</v>
      </c>
      <c r="G20" s="50" t="s">
        <v>57</v>
      </c>
      <c r="H20" s="53">
        <v>5.0</v>
      </c>
      <c r="I20" s="53" t="s">
        <v>57</v>
      </c>
    </row>
    <row r="21" ht="11.25" customHeight="1">
      <c r="D21" s="57" t="s">
        <v>58</v>
      </c>
      <c r="E21" s="58" t="s">
        <v>58</v>
      </c>
      <c r="F21" s="58" t="s">
        <v>59</v>
      </c>
      <c r="G21" s="58" t="s">
        <v>60</v>
      </c>
      <c r="H21" s="58" t="s">
        <v>59</v>
      </c>
      <c r="I21" s="58" t="s">
        <v>59</v>
      </c>
    </row>
    <row r="22" ht="11.25" customHeight="1">
      <c r="D22" s="60" t="s">
        <v>61</v>
      </c>
      <c r="E22" s="104" t="s">
        <v>61</v>
      </c>
      <c r="F22" s="104" t="s">
        <v>62</v>
      </c>
      <c r="G22" s="104" t="s">
        <v>59</v>
      </c>
      <c r="H22" s="104" t="s">
        <v>62</v>
      </c>
      <c r="I22" s="104" t="s">
        <v>62</v>
      </c>
    </row>
    <row r="23" ht="11.25" customHeight="1">
      <c r="D23" s="62"/>
      <c r="E23" s="105"/>
      <c r="F23" s="105"/>
      <c r="G23" s="105"/>
      <c r="H23" s="105"/>
      <c r="I23" s="105"/>
    </row>
    <row r="24" ht="11.25" customHeight="1">
      <c r="D24" s="106"/>
      <c r="E24" s="67"/>
      <c r="F24" s="67"/>
      <c r="G24" s="67"/>
      <c r="H24" s="67"/>
      <c r="I24" s="67"/>
    </row>
    <row r="25" ht="11.25" customHeight="1"/>
    <row r="26" ht="11.25" customHeight="1"/>
    <row r="27" ht="11.25" customHeight="1"/>
    <row r="28" ht="11.25" customHeight="1">
      <c r="B28" s="107" t="s">
        <v>63</v>
      </c>
      <c r="C28" s="108">
        <v>1.0</v>
      </c>
      <c r="D28" s="107">
        <v>340.0</v>
      </c>
      <c r="E28" s="107">
        <v>330.0</v>
      </c>
      <c r="F28" s="107">
        <v>440.0</v>
      </c>
      <c r="G28" s="107">
        <v>400.0</v>
      </c>
      <c r="H28" s="107">
        <v>320.0</v>
      </c>
      <c r="I28" s="107">
        <v>330.0</v>
      </c>
    </row>
    <row r="29" ht="11.25" customHeight="1">
      <c r="B29" s="107" t="s">
        <v>64</v>
      </c>
      <c r="C29" s="108">
        <v>1.0</v>
      </c>
      <c r="D29" s="107">
        <v>220.0</v>
      </c>
      <c r="E29" s="107">
        <v>230.0</v>
      </c>
      <c r="F29" s="107">
        <v>240.0</v>
      </c>
      <c r="G29" s="107">
        <v>220.0</v>
      </c>
      <c r="H29" s="107">
        <v>219.0</v>
      </c>
      <c r="I29" s="107">
        <v>218.0</v>
      </c>
    </row>
    <row r="30" ht="11.25" customHeight="1">
      <c r="B30" s="107" t="s">
        <v>65</v>
      </c>
      <c r="C30" s="108">
        <v>2.0</v>
      </c>
      <c r="D30" s="107">
        <v>560.0</v>
      </c>
      <c r="E30" s="107">
        <v>580.0</v>
      </c>
      <c r="F30" s="107">
        <v>550.0</v>
      </c>
      <c r="G30" s="107">
        <v>520.0</v>
      </c>
      <c r="H30" s="107">
        <v>551.0</v>
      </c>
      <c r="I30" s="107">
        <v>550.0</v>
      </c>
    </row>
    <row r="31" ht="11.25" customHeight="1"/>
    <row r="32" ht="11.25" customHeight="1"/>
    <row r="33" ht="11.25" customHeight="1"/>
    <row r="34" ht="11.25" customHeight="1"/>
    <row r="35" ht="11.25" customHeight="1">
      <c r="B35" s="109" t="s">
        <v>66</v>
      </c>
    </row>
    <row r="36" ht="11.25" customHeight="1">
      <c r="B36" s="110">
        <v>250.0</v>
      </c>
    </row>
    <row r="37" ht="11.25" customHeight="1">
      <c r="B37" s="111">
        <v>440.0</v>
      </c>
    </row>
    <row r="38" ht="11.25" customHeight="1">
      <c r="B38" s="111">
        <v>440.0</v>
      </c>
    </row>
    <row r="39" ht="11.25" customHeight="1">
      <c r="B39" s="111">
        <v>350.0</v>
      </c>
    </row>
    <row r="40" ht="11.25" customHeight="1">
      <c r="B40" s="111">
        <v>420.0</v>
      </c>
    </row>
    <row r="41" ht="11.25" customHeight="1">
      <c r="B41" s="111">
        <v>199.0</v>
      </c>
    </row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conditionalFormatting sqref="D7:I12 D28:I30">
    <cfRule type="expression" dxfId="1" priority="1">
      <formula>AND(D$15=MIN($D$15:$I$15),D$15&lt;&gt;0)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2013-10-17T12:18:53Z</dcterms:created>
  <dc:creator>Planilla excel</dc:creator>
</cp:coreProperties>
</file>